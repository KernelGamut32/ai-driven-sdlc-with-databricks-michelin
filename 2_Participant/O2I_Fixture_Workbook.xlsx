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ses" sheetId="2" state="visible" r:id="rId4"/>
    <sheet name="rows" sheetId="3" state="visible" r:id="rId5"/>
    <sheet name="summary" sheetId="4" state="visible" r:id="rId6"/>
    <sheet name="net_amount_rule" sheetId="5" state="visible" r:id="rId7"/>
    <sheet name="tax_and_gross" sheetId="6" state="visible" r:id="rId8"/>
    <sheet name="customers" sheetId="7" state="visible" r:id="rId9"/>
    <sheet name="products" sheetId="8" state="visible" r:id="rId10"/>
    <sheet name="orders" sheetId="9" state="visible" r:id="rId11"/>
    <sheet name="expected_results" sheetId="10" state="visible" r:id="rId12"/>
  </sheets>
  <definedNames>
    <definedName function="false" hidden="true" localSheetId="1" name="_xlnm._FilterDatabase" vbProcedure="false">cases!$A$1:$H$49</definedName>
    <definedName function="false" hidden="true" localSheetId="9" name="_xlnm._FilterDatabase" vbProcedure="false">expected_results!$A$1:$E$113</definedName>
    <definedName function="false" hidden="true" localSheetId="4" name="_xlnm._FilterDatabase" vbProcedure="false">net_amount_rule!$A$1:$L$57</definedName>
    <definedName function="false" hidden="true" localSheetId="2" name="_xlnm._FilterDatabase" vbProcedure="false">rows!$A$1:$Y$57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<sst xmlns="http://schemas.openxmlformats.org/spreadsheetml/2006/main" count="2915" uniqueCount="599">
  <si>
    <t xml:space="preserve">O2I fixture workbook</t>
  </si>
  <si>
    <t xml:space="preserve">Workshop AI-Driven SDLC with Databricks. Kit version 2.0. All data is fictional.</t>
  </si>
  <si>
    <t xml:space="preserve">What this is</t>
  </si>
  <si>
    <t xml:space="preserve">The fixture is the small, hand-verifiable part of the training data: 56 delivered invoice lines in 48 named cases, 11 customer rows, 9 product rows, 42 order lines, and the expected outcome of every delivered row for both versions of the business contract. Each case exercises one rule or one edge of the contract.</t>
  </si>
  <si>
    <t xml:space="preserve">Why it matters</t>
  </si>
  <si>
    <t xml:space="preserve">An expected result is only worth something when it does not come from the code under test. Every expected value in this workbook comes from the business contract, or from a calculation that you can follow cell by cell.</t>
  </si>
  <si>
    <t xml:space="preserve">Where else it lives</t>
  </si>
  <si>
    <t xml:space="preserve">The same content is in Unity Catalog as the tables o2i.fixture_* and in the project as tests/fixtures/*.csv. The code tests and the data-quality checks compare your results with it.</t>
  </si>
  <si>
    <t xml:space="preserve">Lab 1</t>
  </si>
  <si>
    <t xml:space="preserve">Sheet cases: the cases that the first transformation must get right are the ones decided by rules R2, R5, and R6.</t>
  </si>
  <si>
    <t xml:space="preserve">Lab 3</t>
  </si>
  <si>
    <t xml:space="preserve">Sheet tax_and_gross: the rows marked 'tie' give you the numbers for the two code tests that you write. Sheet net_amount_rule: rule R7 for every row, with signs.</t>
  </si>
  <si>
    <t xml:space="preserve">Lab 4</t>
  </si>
  <si>
    <t xml:space="preserve">Sheet cases: F36 to F42 are the acceptance cases of rule R8. Column G shows which cases change with contract 1.1.</t>
  </si>
  <si>
    <t xml:space="preserve">Colors</t>
  </si>
  <si>
    <t xml:space="preserve">Blue: a delivered value, or a value written by hand from the contract. Black: a formula. An empty cell in a delivered column is a missing value (NULL).</t>
  </si>
  <si>
    <t xml:space="preserve">Arithmetic</t>
  </si>
  <si>
    <t xml:space="preserve">The calculations use whole numbers (cents, thousandths of a quantity, ten-thousandths of a price or rate) until the last division, so no result depends on binary floating point. ROUND in a spreadsheet rounds half away from zero. That is the 'half up' of the contract: 0.165 becomes 0.17, and -0.165 becomes -0.17.</t>
  </si>
  <si>
    <t xml:space="preserve">Rule</t>
  </si>
  <si>
    <t xml:space="preserve">Never change an expected value to make a test or a check pass. If you think that an expected value is wrong, say why, and ask the owner of the contract.</t>
  </si>
  <si>
    <t xml:space="preserve">Sheets</t>
  </si>
  <si>
    <t xml:space="preserve">cases</t>
  </si>
  <si>
    <t xml:space="preserve">The 48 cases: what each one tests, its delivered rows, and the expected outcome under contract 1.0 and 1.1.</t>
  </si>
  <si>
    <t xml:space="preserve">rows</t>
  </si>
  <si>
    <t xml:space="preserve">The 56 delivered invoice lines with every column, the case, and the expected outcome. The status is shown with its spaces.</t>
  </si>
  <si>
    <t xml:space="preserve">summary</t>
  </si>
  <si>
    <t xml:space="preserve">Rows by outcome, counted from the sheet rows with formulas.</t>
  </si>
  <si>
    <t xml:space="preserve">net_amount_rule</t>
  </si>
  <si>
    <t xml:space="preserve">Rule R7 by hand for every row: Quantity x UnitPrice, rounded half up, compared with the delivered NetAmount.</t>
  </si>
  <si>
    <t xml:space="preserve">tax_and_gross</t>
  </si>
  <si>
    <t xml:space="preserve">TaxAmount and GrossAmount by hand for the 22 lines that contract 1.0 accepts, and what half-even rounding would give.</t>
  </si>
  <si>
    <t xml:space="preserve">customers</t>
  </si>
  <si>
    <t xml:space="preserve">Fixture customer master: 11 rows. One key has two rows.</t>
  </si>
  <si>
    <t xml:space="preserve">products</t>
  </si>
  <si>
    <t xml:space="preserve">Fixture product master: 9 rows. One key has two rows.</t>
  </si>
  <si>
    <t xml:space="preserve">orders</t>
  </si>
  <si>
    <t xml:space="preserve">Fixture order lines: 42 rows. One order line exists twice.</t>
  </si>
  <si>
    <t xml:space="preserve">expected_results</t>
  </si>
  <si>
    <t xml:space="preserve">The expected outcome of every row for each contract version, as in the table o2i.fixture_expected_results.</t>
  </si>
  <si>
    <t xml:space="preserve">CaseID</t>
  </si>
  <si>
    <t xml:space="preserve">What the case tests</t>
  </si>
  <si>
    <t xml:space="preserve">Decided by (1.0)</t>
  </si>
  <si>
    <t xml:space="preserve">Decided by (1.1)</t>
  </si>
  <si>
    <t xml:space="preserve">Delivered rows</t>
  </si>
  <si>
    <t xml:space="preserve">Expected under contract 1.0</t>
  </si>
  <si>
    <t xml:space="preserve">Expected under contract 1.1</t>
  </si>
  <si>
    <t xml:space="preserve">Changes with 1.1</t>
  </si>
  <si>
    <t xml:space="preserve">F01</t>
  </si>
  <si>
    <t xml:space="preserve">Posted invoice line, standard tax rate</t>
  </si>
  <si>
    <t xml:space="preserve">passes R1 to R7</t>
  </si>
  <si>
    <t xml:space="preserve">passes R1 to R8</t>
  </si>
  <si>
    <t xml:space="preserve">F0001</t>
  </si>
  <si>
    <t xml:space="preserve">ACCEPTED</t>
  </si>
  <si>
    <t xml:space="preserve">F02</t>
  </si>
  <si>
    <t xml:space="preserve">Fractional quantity: 2.5 h x 12.25 = 30.625, rounds half up to 30.63</t>
  </si>
  <si>
    <t xml:space="preserve">F0002</t>
  </si>
  <si>
    <t xml:space="preserve">F03</t>
  </si>
  <si>
    <t xml:space="preserve">TaxRate is NULL: no tax applies, gross equals net</t>
  </si>
  <si>
    <t xml:space="preserve">F0003</t>
  </si>
  <si>
    <t xml:space="preserve">F04</t>
  </si>
  <si>
    <t xml:space="preserve">Tax tie: 3.00 x 0.055 = 0.165, rounds half up to 0.17</t>
  </si>
  <si>
    <t xml:space="preserve">F0004</t>
  </si>
  <si>
    <t xml:space="preserve">F05</t>
  </si>
  <si>
    <t xml:space="preserve">Valid credit note line: negative quantity and negative amounts</t>
  </si>
  <si>
    <t xml:space="preserve">F0005</t>
  </si>
  <si>
    <t xml:space="preserve">F06</t>
  </si>
  <si>
    <t xml:space="preserve">Credit with a tax tie: -3.00 x 0.055 = -0.165, rounds half up to -0.17</t>
  </si>
  <si>
    <t xml:space="preserve">F0006</t>
  </si>
  <si>
    <t xml:space="preserve">F07</t>
  </si>
  <si>
    <t xml:space="preserve">Status 'Posted ' (mixed case, trailing space) is a posted line</t>
  </si>
  <si>
    <t xml:space="preserve">F0007</t>
  </si>
  <si>
    <t xml:space="preserve">F08</t>
  </si>
  <si>
    <t xml:space="preserve">Status ' posted' (leading space, lower case); tax tie 0.50 x 0.21 = 0.105</t>
  </si>
  <si>
    <t xml:space="preserve">F0008</t>
  </si>
  <si>
    <t xml:space="preserve">F09</t>
  </si>
  <si>
    <t xml:space="preserve">Draft invoice</t>
  </si>
  <si>
    <t xml:space="preserve">R2</t>
  </si>
  <si>
    <t xml:space="preserve">F0009</t>
  </si>
  <si>
    <t xml:space="preserve">EXCLUDED NOT_POSTED</t>
  </si>
  <si>
    <t xml:space="preserve">F10</t>
  </si>
  <si>
    <t xml:space="preserve">Status 'Cancelled' (mixed case)</t>
  </si>
  <si>
    <t xml:space="preserve">F0010</t>
  </si>
  <si>
    <t xml:space="preserve">F11</t>
  </si>
  <si>
    <t xml:space="preserve">Status 'PENDING' is not an allowed value</t>
  </si>
  <si>
    <t xml:space="preserve">F0011</t>
  </si>
  <si>
    <t xml:space="preserve">QUARANTINED UNEXPECTED_STATUS</t>
  </si>
  <si>
    <t xml:space="preserve">F12</t>
  </si>
  <si>
    <t xml:space="preserve">CustomerID is NULL</t>
  </si>
  <si>
    <t xml:space="preserve">R1</t>
  </si>
  <si>
    <t xml:space="preserve">F0012</t>
  </si>
  <si>
    <t xml:space="preserve">QUARANTINED MISSING_REQUIRED_FIELD</t>
  </si>
  <si>
    <t xml:space="preserve">F13</t>
  </si>
  <si>
    <t xml:space="preserve">Status is blank (spaces only)</t>
  </si>
  <si>
    <t xml:space="preserve">F0013</t>
  </si>
  <si>
    <t xml:space="preserve">F14</t>
  </si>
  <si>
    <t xml:space="preserve">NetAmount is NULL</t>
  </si>
  <si>
    <t xml:space="preserve">F0014</t>
  </si>
  <si>
    <t xml:space="preserve">F15</t>
  </si>
  <si>
    <t xml:space="preserve">LineNumber is NULL</t>
  </si>
  <si>
    <t xml:space="preserve">F0015</t>
  </si>
  <si>
    <t xml:space="preserve">F16</t>
  </si>
  <si>
    <t xml:space="preserve">Draft with ProductID NULL: R1 is checked before R2</t>
  </si>
  <si>
    <t xml:space="preserve">F0016</t>
  </si>
  <si>
    <t xml:space="preserve">F17</t>
  </si>
  <si>
    <t xml:space="preserve">Exact replay, delivered twice</t>
  </si>
  <si>
    <t xml:space="preserve">R3</t>
  </si>
  <si>
    <t xml:space="preserve">F0017, F0049</t>
  </si>
  <si>
    <t xml:space="preserve">F0017 ACCEPTED; F0049 EXCLUDED EXACT_REPLAY</t>
  </si>
  <si>
    <t xml:space="preserve">F18</t>
  </si>
  <si>
    <t xml:space="preserve">Exact replay, delivered three times</t>
  </si>
  <si>
    <t xml:space="preserve">F0018, F0050, F0053</t>
  </si>
  <si>
    <t xml:space="preserve">F0018 ACCEPTED; F0050 EXCLUDED EXACT_REPLAY; F0053 EXCLUDED EXACT_REPLAY</t>
  </si>
  <si>
    <t xml:space="preserve">F19</t>
  </si>
  <si>
    <t xml:space="preserve">Conflicting duplicate: same key, quantity 4 and quantity 6</t>
  </si>
  <si>
    <t xml:space="preserve">F0019, F0055</t>
  </si>
  <si>
    <t xml:space="preserve">F0019 QUARANTINED CONFLICTING_DUPLICATE; F0055 QUARANTINED CONFLICTING_DUPLICATE</t>
  </si>
  <si>
    <t xml:space="preserve">F20</t>
  </si>
  <si>
    <t xml:space="preserve">Conflict of three rows: two identical, one different</t>
  </si>
  <si>
    <t xml:space="preserve">F0020, F0051, F0056</t>
  </si>
  <si>
    <t xml:space="preserve">F0020 QUARANTINED CONFLICTING_DUPLICATE; F0051 QUARANTINED CONFLICTING_DUPLICATE; F0056 QUARANTINED CONFLICTING_DUPLICATE</t>
  </si>
  <si>
    <t xml:space="preserve">F21</t>
  </si>
  <si>
    <t xml:space="preserve">Same key as a draft and as a posted line: R2 is checked before R3</t>
  </si>
  <si>
    <t xml:space="preserve">F0021, F0054</t>
  </si>
  <si>
    <t xml:space="preserve">F0021 EXCLUDED NOT_POSTED; F0054 ACCEPTED</t>
  </si>
  <si>
    <t xml:space="preserve">F22</t>
  </si>
  <si>
    <t xml:space="preserve">Exact replay of a line with an unknown customer</t>
  </si>
  <si>
    <t xml:space="preserve">R3, R5</t>
  </si>
  <si>
    <t xml:space="preserve">F0022, F0052</t>
  </si>
  <si>
    <t xml:space="preserve">F0022 QUARANTINED UNKNOWN_CUSTOMER; F0052 EXCLUDED EXACT_REPLAY</t>
  </si>
  <si>
    <t xml:space="preserve">F23</t>
  </si>
  <si>
    <t xml:space="preserve">InvoiceDate '2026-02-30' is not a calendar date</t>
  </si>
  <si>
    <t xml:space="preserve">R4</t>
  </si>
  <si>
    <t xml:space="preserve">F0023</t>
  </si>
  <si>
    <t xml:space="preserve">QUARANTINED INVALID_DATE</t>
  </si>
  <si>
    <t xml:space="preserve">F24</t>
  </si>
  <si>
    <t xml:space="preserve">InvoiceDate '31/03/2026' is not in the format yyyy-MM-dd</t>
  </si>
  <si>
    <t xml:space="preserve">F0024</t>
  </si>
  <si>
    <t xml:space="preserve">F25</t>
  </si>
  <si>
    <t xml:space="preserve">InvoiceDate '2026-3-7' has no leading zeros</t>
  </si>
  <si>
    <t xml:space="preserve">F0025</t>
  </si>
  <si>
    <t xml:space="preserve">F26</t>
  </si>
  <si>
    <t xml:space="preserve">CustomerID is not in the customer master</t>
  </si>
  <si>
    <t xml:space="preserve">R5</t>
  </si>
  <si>
    <t xml:space="preserve">F0026</t>
  </si>
  <si>
    <t xml:space="preserve">QUARANTINED UNKNOWN_CUSTOMER</t>
  </si>
  <si>
    <t xml:space="preserve">F27</t>
  </si>
  <si>
    <t xml:space="preserve">CustomerID has two rows in the customer master</t>
  </si>
  <si>
    <t xml:space="preserve">F0027</t>
  </si>
  <si>
    <t xml:space="preserve">QUARANTINED AMBIGUOUS_CUSTOMER</t>
  </si>
  <si>
    <t xml:space="preserve">F28</t>
  </si>
  <si>
    <t xml:space="preserve">CustomerID 'c200001 ' is not the master key 'C200001'</t>
  </si>
  <si>
    <t xml:space="preserve">F0028</t>
  </si>
  <si>
    <t xml:space="preserve">F29</t>
  </si>
  <si>
    <t xml:space="preserve">ProductID is not in the product master</t>
  </si>
  <si>
    <t xml:space="preserve">R6</t>
  </si>
  <si>
    <t xml:space="preserve">F0029</t>
  </si>
  <si>
    <t xml:space="preserve">QUARANTINED UNKNOWN_PRODUCT</t>
  </si>
  <si>
    <t xml:space="preserve">F30</t>
  </si>
  <si>
    <t xml:space="preserve">ProductID has two rows in the product master</t>
  </si>
  <si>
    <t xml:space="preserve">F0030</t>
  </si>
  <si>
    <t xml:space="preserve">QUARANTINED AMBIGUOUS_PRODUCT</t>
  </si>
  <si>
    <t xml:space="preserve">F31</t>
  </si>
  <si>
    <t xml:space="preserve">Unknown customer and unknown product: R5 is checked before R6</t>
  </si>
  <si>
    <t xml:space="preserve">F0031</t>
  </si>
  <si>
    <t xml:space="preserve">F32</t>
  </si>
  <si>
    <t xml:space="preserve">Invalid date and unknown customer: R4 is checked before R5</t>
  </si>
  <si>
    <t xml:space="preserve">F0032</t>
  </si>
  <si>
    <t xml:space="preserve">F33</t>
  </si>
  <si>
    <t xml:space="preserve">Credit with a positive NetAmount: -2 x 91.79 is -183.58, delivered 183.58</t>
  </si>
  <si>
    <t xml:space="preserve">R7</t>
  </si>
  <si>
    <t xml:space="preserve">F0033</t>
  </si>
  <si>
    <t xml:space="preserve">QUARANTINED AMOUNT_MISMATCH</t>
  </si>
  <si>
    <t xml:space="preserve">F34</t>
  </si>
  <si>
    <t xml:space="preserve">NetAmount ten times too large: 4 x 91.7875 is 367.15, delivered 3671.50</t>
  </si>
  <si>
    <t xml:space="preserve">F0034</t>
  </si>
  <si>
    <t xml:space="preserve">F35</t>
  </si>
  <si>
    <t xml:space="preserve">Unknown product and wrong amount: R6 is checked before R7</t>
  </si>
  <si>
    <t xml:space="preserve">F0035</t>
  </si>
  <si>
    <t xml:space="preserve">F36</t>
  </si>
  <si>
    <t xml:space="preserve">No order reference; 1.5 h x 29.99 = 44.985, rounds half up to 44.99</t>
  </si>
  <si>
    <t xml:space="preserve">R8</t>
  </si>
  <si>
    <t xml:space="preserve">F0036</t>
  </si>
  <si>
    <t xml:space="preserve">QUARANTINED MISSING_ORDER_REF</t>
  </si>
  <si>
    <t xml:space="preserve">F37</t>
  </si>
  <si>
    <t xml:space="preserve">Order exists, order line 9 does not</t>
  </si>
  <si>
    <t xml:space="preserve">F0037</t>
  </si>
  <si>
    <t xml:space="preserve">QUARANTINED UNKNOWN_ORDER_REF</t>
  </si>
  <si>
    <t xml:space="preserve">F38</t>
  </si>
  <si>
    <t xml:space="preserve">OrderID is not in the orders table</t>
  </si>
  <si>
    <t xml:space="preserve">F0038</t>
  </si>
  <si>
    <t xml:space="preserve">F39</t>
  </si>
  <si>
    <t xml:space="preserve">Order line exists twice in the orders table</t>
  </si>
  <si>
    <t xml:space="preserve">F0039</t>
  </si>
  <si>
    <t xml:space="preserve">QUARANTINED AMBIGUOUS_ORDER_REF</t>
  </si>
  <si>
    <t xml:space="preserve">F40</t>
  </si>
  <si>
    <t xml:space="preserve">Valid credit with a valid order reference</t>
  </si>
  <si>
    <t xml:space="preserve">F0040</t>
  </si>
  <si>
    <t xml:space="preserve">F41</t>
  </si>
  <si>
    <t xml:space="preserve">Credit with an unknown order reference</t>
  </si>
  <si>
    <t xml:space="preserve">F0041</t>
  </si>
  <si>
    <t xml:space="preserve">F42</t>
  </si>
  <si>
    <t xml:space="preserve">Wrong amount and unknown order reference: R7 is checked before R8</t>
  </si>
  <si>
    <t xml:space="preserve">F0042</t>
  </si>
  <si>
    <t xml:space="preserve">F43</t>
  </si>
  <si>
    <t xml:space="preserve">GBP line; 2 x 1082.6196 = 2165.2392, rounds to 2165.24</t>
  </si>
  <si>
    <t xml:space="preserve">F0043</t>
  </si>
  <si>
    <t xml:space="preserve">F44</t>
  </si>
  <si>
    <t xml:space="preserve">CAD line; tax 36.75 x 0.05 = 1.8375, rounds to 1.84</t>
  </si>
  <si>
    <t xml:space="preserve">F0044</t>
  </si>
  <si>
    <t xml:space="preserve">F45</t>
  </si>
  <si>
    <t xml:space="preserve">TaxRate 0.0000 is a rate, not a missing value</t>
  </si>
  <si>
    <t xml:space="preserve">F0045</t>
  </si>
  <si>
    <t xml:space="preserve">F46</t>
  </si>
  <si>
    <t xml:space="preserve">Large quantity: 1200 x 68.1850 = 81822.00</t>
  </si>
  <si>
    <t xml:space="preserve">F0046</t>
  </si>
  <si>
    <t xml:space="preserve">F47</t>
  </si>
  <si>
    <t xml:space="preserve">Quantity with three decimals: 0.333 x 29.99 = 9.98667, rounds to 9.99</t>
  </si>
  <si>
    <t xml:space="preserve">F0047</t>
  </si>
  <si>
    <t xml:space="preserve">F48</t>
  </si>
  <si>
    <t xml:space="preserve">Cancelled invoice</t>
  </si>
  <si>
    <t xml:space="preserve">F0048</t>
  </si>
  <si>
    <t xml:space="preserve">Cases</t>
  </si>
  <si>
    <t xml:space="preserve">Change</t>
  </si>
  <si>
    <t xml:space="preserve">cases get another outcome with contract 1.1 (rule R8)</t>
  </si>
  <si>
    <t xml:space="preserve">RawRowID</t>
  </si>
  <si>
    <t xml:space="preserve">InvoiceID</t>
  </si>
  <si>
    <t xml:space="preserve">LineNumber</t>
  </si>
  <si>
    <t xml:space="preserve">InvoiceDate</t>
  </si>
  <si>
    <t xml:space="preserve">DocumentType</t>
  </si>
  <si>
    <t xml:space="preserve">Status</t>
  </si>
  <si>
    <t xml:space="preserve">Status, spaces visible</t>
  </si>
  <si>
    <t xml:space="preserve">CustomerID</t>
  </si>
  <si>
    <t xml:space="preserve">ProductID</t>
  </si>
  <si>
    <t xml:space="preserve">OrderID</t>
  </si>
  <si>
    <t xml:space="preserve">OrderLineNumber</t>
  </si>
  <si>
    <t xml:space="preserve">Quantity</t>
  </si>
  <si>
    <t xml:space="preserve">UnitPrice</t>
  </si>
  <si>
    <t xml:space="preserve">NetAmount</t>
  </si>
  <si>
    <t xml:space="preserve">TaxRate</t>
  </si>
  <si>
    <t xml:space="preserve">Currency</t>
  </si>
  <si>
    <t xml:space="preserve">SalesOrg</t>
  </si>
  <si>
    <t xml:space="preserve">SourceSystem</t>
  </si>
  <si>
    <t xml:space="preserve">LoadBatchID</t>
  </si>
  <si>
    <t xml:space="preserve">IngestedAt</t>
  </si>
  <si>
    <t xml:space="preserve">Expected 1.0</t>
  </si>
  <si>
    <t xml:space="preserve">Reason 1.0</t>
  </si>
  <si>
    <t xml:space="preserve">Expected 1.1</t>
  </si>
  <si>
    <t xml:space="preserve">Reason 1.1</t>
  </si>
  <si>
    <t xml:space="preserve">INV-3000001</t>
  </si>
  <si>
    <t xml:space="preserve">2026-04-02</t>
  </si>
  <si>
    <t xml:space="preserve">INVOICE</t>
  </si>
  <si>
    <t xml:space="preserve">POSTED</t>
  </si>
  <si>
    <t xml:space="preserve">C200001</t>
  </si>
  <si>
    <t xml:space="preserve">P-20001</t>
  </si>
  <si>
    <t xml:space="preserve">SO-3000001</t>
  </si>
  <si>
    <t xml:space="preserve">EUR</t>
  </si>
  <si>
    <t xml:space="preserve">FR10</t>
  </si>
  <si>
    <t xml:space="preserve">ERP_EU</t>
  </si>
  <si>
    <t xml:space="preserve">LB-20260403</t>
  </si>
  <si>
    <t xml:space="preserve">2026-04-03 02:10:00</t>
  </si>
  <si>
    <t xml:space="preserve">P-20003</t>
  </si>
  <si>
    <t xml:space="preserve">INV-3000002</t>
  </si>
  <si>
    <t xml:space="preserve">C200004</t>
  </si>
  <si>
    <t xml:space="preserve">SO-3000002</t>
  </si>
  <si>
    <t xml:space="preserve">USD</t>
  </si>
  <si>
    <t xml:space="preserve">US10</t>
  </si>
  <si>
    <t xml:space="preserve">ERP_NA</t>
  </si>
  <si>
    <t xml:space="preserve">INV-3000003</t>
  </si>
  <si>
    <t xml:space="preserve">C200010</t>
  </si>
  <si>
    <t xml:space="preserve">P-20004</t>
  </si>
  <si>
    <t xml:space="preserve">SO-3000003</t>
  </si>
  <si>
    <t xml:space="preserve">CN-3000004</t>
  </si>
  <si>
    <t xml:space="preserve">2026-04-03</t>
  </si>
  <si>
    <t xml:space="preserve">CREDIT_NOTE</t>
  </si>
  <si>
    <t xml:space="preserve">CN-3000005</t>
  </si>
  <si>
    <t xml:space="preserve">INV-3000006</t>
  </si>
  <si>
    <t xml:space="preserve">Posted </t>
  </si>
  <si>
    <t xml:space="preserve">C200002</t>
  </si>
  <si>
    <t xml:space="preserve">P-20002</t>
  </si>
  <si>
    <t xml:space="preserve">SO-3000004</t>
  </si>
  <si>
    <t xml:space="preserve">DE10</t>
  </si>
  <si>
    <t xml:space="preserve">INV-3000007</t>
  </si>
  <si>
    <t xml:space="preserve"> posted</t>
  </si>
  <si>
    <t xml:space="preserve">C200006</t>
  </si>
  <si>
    <t xml:space="preserve">P-20005</t>
  </si>
  <si>
    <t xml:space="preserve">SO-3000005</t>
  </si>
  <si>
    <t xml:space="preserve">ES10</t>
  </si>
  <si>
    <t xml:space="preserve">INV-3000008</t>
  </si>
  <si>
    <t xml:space="preserve">DRAFT</t>
  </si>
  <si>
    <t xml:space="preserve">SO-3000006</t>
  </si>
  <si>
    <t xml:space="preserve">EXCLUDED</t>
  </si>
  <si>
    <t xml:space="preserve">NOT_POSTED</t>
  </si>
  <si>
    <t xml:space="preserve">INV-3000009</t>
  </si>
  <si>
    <t xml:space="preserve">Cancelled</t>
  </si>
  <si>
    <t xml:space="preserve">INV-3000010</t>
  </si>
  <si>
    <t xml:space="preserve">PENDING</t>
  </si>
  <si>
    <t xml:space="preserve">QUARANTINED</t>
  </si>
  <si>
    <t xml:space="preserve">UNEXPECTED_STATUS</t>
  </si>
  <si>
    <t xml:space="preserve">INV-3000011</t>
  </si>
  <si>
    <t xml:space="preserve">SO-3000007</t>
  </si>
  <si>
    <t xml:space="preserve">MISSING_REQUIRED_FIELD</t>
  </si>
  <si>
    <t xml:space="preserve">INV-3000012</t>
  </si>
  <si>
    <t xml:space="preserve">   </t>
  </si>
  <si>
    <t xml:space="preserve">INV-3000013</t>
  </si>
  <si>
    <t xml:space="preserve">INV-3000014</t>
  </si>
  <si>
    <t xml:space="preserve">SO-3000008</t>
  </si>
  <si>
    <t xml:space="preserve">INV-3000015</t>
  </si>
  <si>
    <t xml:space="preserve">F0017</t>
  </si>
  <si>
    <t xml:space="preserve">INV-3000016</t>
  </si>
  <si>
    <t xml:space="preserve">SO-3000010</t>
  </si>
  <si>
    <t xml:space="preserve">F0018</t>
  </si>
  <si>
    <t xml:space="preserve">INV-3000017</t>
  </si>
  <si>
    <t xml:space="preserve">F0019</t>
  </si>
  <si>
    <t xml:space="preserve">INV-3000018</t>
  </si>
  <si>
    <t xml:space="preserve">SO-3000011</t>
  </si>
  <si>
    <t xml:space="preserve">CONFLICTING_DUPLICATE</t>
  </si>
  <si>
    <t xml:space="preserve">F0020</t>
  </si>
  <si>
    <t xml:space="preserve">INV-3000019</t>
  </si>
  <si>
    <t xml:space="preserve">F0021</t>
  </si>
  <si>
    <t xml:space="preserve">INV-3000020</t>
  </si>
  <si>
    <t xml:space="preserve">SO-3000012</t>
  </si>
  <si>
    <t xml:space="preserve">F0022</t>
  </si>
  <si>
    <t xml:space="preserve">INV-3000021</t>
  </si>
  <si>
    <t xml:space="preserve">C299999</t>
  </si>
  <si>
    <t xml:space="preserve">UNKNOWN_CUSTOMER</t>
  </si>
  <si>
    <t xml:space="preserve">INV-3000022</t>
  </si>
  <si>
    <t xml:space="preserve">2026-02-30</t>
  </si>
  <si>
    <t xml:space="preserve">SO-3000013</t>
  </si>
  <si>
    <t xml:space="preserve">INVALID_DATE</t>
  </si>
  <si>
    <t xml:space="preserve">INV-3000023</t>
  </si>
  <si>
    <t xml:space="preserve">31/03/2026</t>
  </si>
  <si>
    <t xml:space="preserve">INV-3000024</t>
  </si>
  <si>
    <t xml:space="preserve">2026-3-7</t>
  </si>
  <si>
    <t xml:space="preserve">INV-3000025</t>
  </si>
  <si>
    <t xml:space="preserve">SO-3000014</t>
  </si>
  <si>
    <t xml:space="preserve">INV-3000026</t>
  </si>
  <si>
    <t xml:space="preserve">C200007</t>
  </si>
  <si>
    <t xml:space="preserve">BX10</t>
  </si>
  <si>
    <t xml:space="preserve">AMBIGUOUS_CUSTOMER</t>
  </si>
  <si>
    <t xml:space="preserve">INV-3000027</t>
  </si>
  <si>
    <t xml:space="preserve">c200001 </t>
  </si>
  <si>
    <t xml:space="preserve">INV-3000028</t>
  </si>
  <si>
    <t xml:space="preserve">P-29999</t>
  </si>
  <si>
    <t xml:space="preserve">SO-3000015</t>
  </si>
  <si>
    <t xml:space="preserve">UNKNOWN_PRODUCT</t>
  </si>
  <si>
    <t xml:space="preserve">INV-3000029</t>
  </si>
  <si>
    <t xml:space="preserve">P-20006</t>
  </si>
  <si>
    <t xml:space="preserve">AMBIGUOUS_PRODUCT</t>
  </si>
  <si>
    <t xml:space="preserve">INV-3000030</t>
  </si>
  <si>
    <t xml:space="preserve">INV-3000031</t>
  </si>
  <si>
    <t xml:space="preserve">2026-04-31</t>
  </si>
  <si>
    <t xml:space="preserve">SO-3000016</t>
  </si>
  <si>
    <t xml:space="preserve">CN-3000032</t>
  </si>
  <si>
    <t xml:space="preserve">AMOUNT_MISMATCH</t>
  </si>
  <si>
    <t xml:space="preserve">INV-3000033</t>
  </si>
  <si>
    <t xml:space="preserve">INV-3000034</t>
  </si>
  <si>
    <t xml:space="preserve">INV-3000035</t>
  </si>
  <si>
    <t xml:space="preserve">P-20008</t>
  </si>
  <si>
    <t xml:space="preserve">MISSING_ORDER_REF</t>
  </si>
  <si>
    <t xml:space="preserve">INV-3000036</t>
  </si>
  <si>
    <t xml:space="preserve">UNKNOWN_ORDER_REF</t>
  </si>
  <si>
    <t xml:space="preserve">INV-3000037</t>
  </si>
  <si>
    <t xml:space="preserve">SO-3999999</t>
  </si>
  <si>
    <t xml:space="preserve">INV-3000038</t>
  </si>
  <si>
    <t xml:space="preserve">SO-3000009</t>
  </si>
  <si>
    <t xml:space="preserve">AMBIGUOUS_ORDER_REF</t>
  </si>
  <si>
    <t xml:space="preserve">CN-3000039</t>
  </si>
  <si>
    <t xml:space="preserve">CN-3000040</t>
  </si>
  <si>
    <t xml:space="preserve">SO-3999998</t>
  </si>
  <si>
    <t xml:space="preserve">INV-3000041</t>
  </si>
  <si>
    <t xml:space="preserve">SO-3999997</t>
  </si>
  <si>
    <t xml:space="preserve">INV-3000042</t>
  </si>
  <si>
    <t xml:space="preserve">C200003</t>
  </si>
  <si>
    <t xml:space="preserve">P-20007</t>
  </si>
  <si>
    <t xml:space="preserve">SO-3000017</t>
  </si>
  <si>
    <t xml:space="preserve">GBP</t>
  </si>
  <si>
    <t xml:space="preserve">GB10</t>
  </si>
  <si>
    <t xml:space="preserve">INV-3000043</t>
  </si>
  <si>
    <t xml:space="preserve">C200008</t>
  </si>
  <si>
    <t xml:space="preserve">CAD</t>
  </si>
  <si>
    <t xml:space="preserve">CA10</t>
  </si>
  <si>
    <t xml:space="preserve">INV-3000044</t>
  </si>
  <si>
    <t xml:space="preserve">C200009</t>
  </si>
  <si>
    <t xml:space="preserve">SO-3000018</t>
  </si>
  <si>
    <t xml:space="preserve">PLN</t>
  </si>
  <si>
    <t xml:space="preserve">PL10</t>
  </si>
  <si>
    <t xml:space="preserve">INV-3000045</t>
  </si>
  <si>
    <t xml:space="preserve">C200005</t>
  </si>
  <si>
    <t xml:space="preserve">IT10</t>
  </si>
  <si>
    <t xml:space="preserve">INV-3000046</t>
  </si>
  <si>
    <t xml:space="preserve">INV-3000047</t>
  </si>
  <si>
    <t xml:space="preserve">CANCELLED</t>
  </si>
  <si>
    <t xml:space="preserve">SO-3000019</t>
  </si>
  <si>
    <t xml:space="preserve">F0049</t>
  </si>
  <si>
    <t xml:space="preserve">LB-20260404</t>
  </si>
  <si>
    <t xml:space="preserve">2026-04-04 02:10:00</t>
  </si>
  <si>
    <t xml:space="preserve">EXACT_REPLAY</t>
  </si>
  <si>
    <t xml:space="preserve">F0050</t>
  </si>
  <si>
    <t xml:space="preserve">F0051</t>
  </si>
  <si>
    <t xml:space="preserve">F0052</t>
  </si>
  <si>
    <t xml:space="preserve">F0053</t>
  </si>
  <si>
    <t xml:space="preserve">LB-20260405</t>
  </si>
  <si>
    <t xml:space="preserve">2026-04-05 02:10:00</t>
  </si>
  <si>
    <t xml:space="preserve">F0054</t>
  </si>
  <si>
    <t xml:space="preserve">F0055</t>
  </si>
  <si>
    <t xml:space="preserve">LB-20260406</t>
  </si>
  <si>
    <t xml:space="preserve">2026-04-06 02:10:00</t>
  </si>
  <si>
    <t xml:space="preserve">F0056</t>
  </si>
  <si>
    <t xml:space="preserve">LB-20260407</t>
  </si>
  <si>
    <t xml:space="preserve">2026-04-07 02:10:00</t>
  </si>
  <si>
    <t xml:space="preserve">Disposition</t>
  </si>
  <si>
    <t xml:space="preserve">Reason code</t>
  </si>
  <si>
    <t xml:space="preserve">Rows, contract 1.0</t>
  </si>
  <si>
    <t xml:space="preserve">Rows, contract 1.1</t>
  </si>
  <si>
    <t xml:space="preserve">Total</t>
  </si>
  <si>
    <t xml:space="preserve">Reconciles</t>
  </si>
  <si>
    <t xml:space="preserve">Every delivered row has exactly one outcome: the total equals the number of delivered rows.</t>
  </si>
  <si>
    <t xml:space="preserve">NetAmount as delivered</t>
  </si>
  <si>
    <t xml:space="preserve">Quantity in thousandths</t>
  </si>
  <si>
    <t xml:space="preserve">UnitPrice in ten-thousandths</t>
  </si>
  <si>
    <t xml:space="preserve">Quantity x UnitPrice in cents, exact</t>
  </si>
  <si>
    <t xml:space="preserve">Rounded half up, in cents</t>
  </si>
  <si>
    <t xml:space="preserve">NetAmount that rule R7 expects</t>
  </si>
  <si>
    <t xml:space="preserve">Rule R7</t>
  </si>
  <si>
    <t xml:space="preserve">Expected outcome of the row, contract 1.0</t>
  </si>
  <si>
    <t xml:space="preserve">QUARANTINED CONFLICTING_DUPLICATE</t>
  </si>
  <si>
    <t xml:space="preserve">EXCLUDED EXACT_REPLAY</t>
  </si>
  <si>
    <t xml:space="preserve">Rows</t>
  </si>
  <si>
    <t xml:space="preserve">matches</t>
  </si>
  <si>
    <t xml:space="preserve">MISMATCH</t>
  </si>
  <si>
    <t xml:space="preserve">missing value</t>
  </si>
  <si>
    <t xml:space="preserve">A row with MISMATCH is held by rule R7 only when no earlier rule decides: compare column K with column L. A credit keeps its sign: -2 x 91.79 is -183.58, so a delivered 183.58 does not match.</t>
  </si>
  <si>
    <t xml:space="preserve">TaxRate (empty: no tax applies)</t>
  </si>
  <si>
    <t xml:space="preserve">NetAmount in cents</t>
  </si>
  <si>
    <t xml:space="preserve">TaxRate in ten-thousandths</t>
  </si>
  <si>
    <t xml:space="preserve">Tax in cents, exact</t>
  </si>
  <si>
    <t xml:space="preserve">Tax in cents, rounded half up</t>
  </si>
  <si>
    <t xml:space="preserve">TaxAmount</t>
  </si>
  <si>
    <t xml:space="preserve">GrossAmount</t>
  </si>
  <si>
    <t xml:space="preserve">ExpectedTaxAmount (table)</t>
  </si>
  <si>
    <t xml:space="preserve">ExpectedGrossAmount (table)</t>
  </si>
  <si>
    <t xml:space="preserve">Calculation agrees with the table</t>
  </si>
  <si>
    <t xml:space="preserve">Tie</t>
  </si>
  <si>
    <t xml:space="preserve">TaxAmount with half-even rounding</t>
  </si>
  <si>
    <t xml:space="preserve">Half even differs</t>
  </si>
  <si>
    <t xml:space="preserve">Lines</t>
  </si>
  <si>
    <t xml:space="preserve">Agree</t>
  </si>
  <si>
    <t xml:space="preserve">Ties</t>
  </si>
  <si>
    <t xml:space="preserve">These are the 22 fixture lines that contract 1.0 accepts. A tie is a tax that ends exactly on half a cent. Only on a tie do half up and half even give different results: a test without a tie cannot tell them apart.</t>
  </si>
  <si>
    <t xml:space="preserve">CustomerName</t>
  </si>
  <si>
    <t xml:space="preserve">Segment</t>
  </si>
  <si>
    <t xml:space="preserve">Country</t>
  </si>
  <si>
    <t xml:space="preserve">Region</t>
  </si>
  <si>
    <t xml:space="preserve">City</t>
  </si>
  <si>
    <t xml:space="preserve">PostalCode</t>
  </si>
  <si>
    <t xml:space="preserve">BillingCurrency</t>
  </si>
  <si>
    <t xml:space="preserve">PaymentTerms</t>
  </si>
  <si>
    <t xml:space="preserve">CreditLimit</t>
  </si>
  <si>
    <t xml:space="preserve">AccountManager</t>
  </si>
  <si>
    <t xml:space="preserve">ParentCustomerID</t>
  </si>
  <si>
    <t xml:space="preserve">IsActive</t>
  </si>
  <si>
    <t xml:space="preserve">CreatedDate</t>
  </si>
  <si>
    <t xml:space="preserve">LastUpdated</t>
  </si>
  <si>
    <t xml:space="preserve">Rows with this CustomerID</t>
  </si>
  <si>
    <t xml:space="preserve">Alder Ridge Tyre Centre SARL</t>
  </si>
  <si>
    <t xml:space="preserve">DEALER</t>
  </si>
  <si>
    <t xml:space="preserve">FR</t>
  </si>
  <si>
    <t xml:space="preserve">EMEA</t>
  </si>
  <si>
    <t xml:space="preserve">Lyon</t>
  </si>
  <si>
    <t xml:space="preserve">69003</t>
  </si>
  <si>
    <t xml:space="preserve">NET30</t>
  </si>
  <si>
    <t xml:space="preserve">AM-101</t>
  </si>
  <si>
    <t xml:space="preserve">true</t>
  </si>
  <si>
    <t xml:space="preserve">2019-03-14</t>
  </si>
  <si>
    <t xml:space="preserve">2025-03-11 09:30:00</t>
  </si>
  <si>
    <t xml:space="preserve">Basalt Vale Logistics GmbH</t>
  </si>
  <si>
    <t xml:space="preserve">FLEET</t>
  </si>
  <si>
    <t xml:space="preserve">DE</t>
  </si>
  <si>
    <t xml:space="preserve">Kassel</t>
  </si>
  <si>
    <t xml:space="preserve">34117</t>
  </si>
  <si>
    <t xml:space="preserve">NET45</t>
  </si>
  <si>
    <t xml:space="preserve">AM-102</t>
  </si>
  <si>
    <t xml:space="preserve">Cinder Forge Distribution Ltd</t>
  </si>
  <si>
    <t xml:space="preserve">DISTRIBUTOR</t>
  </si>
  <si>
    <t xml:space="preserve">GB</t>
  </si>
  <si>
    <t xml:space="preserve">Leeds</t>
  </si>
  <si>
    <t xml:space="preserve">LS1 4AB</t>
  </si>
  <si>
    <t xml:space="preserve">NET60</t>
  </si>
  <si>
    <t xml:space="preserve">AM-103</t>
  </si>
  <si>
    <t xml:space="preserve">Dorsal Haven Online Inc</t>
  </si>
  <si>
    <t xml:space="preserve">ECOMMERCE</t>
  </si>
  <si>
    <t xml:space="preserve">US</t>
  </si>
  <si>
    <t xml:space="preserve">AMER</t>
  </si>
  <si>
    <t xml:space="preserve">Dayton</t>
  </si>
  <si>
    <t xml:space="preserve">45402</t>
  </si>
  <si>
    <t xml:space="preserve">PREPAID</t>
  </si>
  <si>
    <t xml:space="preserve">AM-104</t>
  </si>
  <si>
    <t xml:space="preserve">Ember Cross Vehicles SPA</t>
  </si>
  <si>
    <t xml:space="preserve">OEM</t>
  </si>
  <si>
    <t xml:space="preserve">IT</t>
  </si>
  <si>
    <t xml:space="preserve">Bologna</t>
  </si>
  <si>
    <t xml:space="preserve">40121</t>
  </si>
  <si>
    <t xml:space="preserve">AM-105</t>
  </si>
  <si>
    <t xml:space="preserve">Fallow Field Autoservice SL</t>
  </si>
  <si>
    <t xml:space="preserve">ES</t>
  </si>
  <si>
    <t xml:space="preserve">Vigo</t>
  </si>
  <si>
    <t xml:space="preserve">36201</t>
  </si>
  <si>
    <t xml:space="preserve">Garnet Gate Transport BV</t>
  </si>
  <si>
    <t xml:space="preserve">NL</t>
  </si>
  <si>
    <t xml:space="preserve">Utrecht</t>
  </si>
  <si>
    <t xml:space="preserve">3511 AB</t>
  </si>
  <si>
    <t xml:space="preserve">AM-106</t>
  </si>
  <si>
    <t xml:space="preserve">Breda</t>
  </si>
  <si>
    <t xml:space="preserve">4811 EF</t>
  </si>
  <si>
    <t xml:space="preserve">2026-01-20 14:05:00</t>
  </si>
  <si>
    <t xml:space="preserve">Harrow Mill Wheel Works Inc</t>
  </si>
  <si>
    <t xml:space="preserve">CA</t>
  </si>
  <si>
    <t xml:space="preserve">Halifax</t>
  </si>
  <si>
    <t xml:space="preserve">B3H 1A1</t>
  </si>
  <si>
    <t xml:space="preserve">AM-107</t>
  </si>
  <si>
    <t xml:space="preserve">Ingot Point Trade Supply Sp. z o.o.</t>
  </si>
  <si>
    <t xml:space="preserve">PL</t>
  </si>
  <si>
    <t xml:space="preserve">Lodz</t>
  </si>
  <si>
    <t xml:space="preserve">90-001</t>
  </si>
  <si>
    <t xml:space="preserve">AM-108</t>
  </si>
  <si>
    <t xml:space="preserve">Juniper Quay Fleet Services SAS</t>
  </si>
  <si>
    <t xml:space="preserve">Nantes</t>
  </si>
  <si>
    <t xml:space="preserve">44000</t>
  </si>
  <si>
    <t xml:space="preserve">Keys with more than one row</t>
  </si>
  <si>
    <t xml:space="preserve">The table has no enforced key. A key with more than one row is the reason for the AMBIGUOUS reason codes.</t>
  </si>
  <si>
    <t xml:space="preserve">ProductName</t>
  </si>
  <si>
    <t xml:space="preserve">ProductLine</t>
  </si>
  <si>
    <t xml:space="preserve">ProductFamily</t>
  </si>
  <si>
    <t xml:space="preserve">SizeDesignation</t>
  </si>
  <si>
    <t xml:space="preserve">RimDiameterInch</t>
  </si>
  <si>
    <t xml:space="preserve">UnitOfMeasure</t>
  </si>
  <si>
    <t xml:space="preserve">ListPrice</t>
  </si>
  <si>
    <t xml:space="preserve">ListPriceCurrency</t>
  </si>
  <si>
    <t xml:space="preserve">TaxClass</t>
  </si>
  <si>
    <t xml:space="preserve">WeightKg</t>
  </si>
  <si>
    <t xml:space="preserve">LaunchDate</t>
  </si>
  <si>
    <t xml:space="preserve">Rows with this ProductID</t>
  </si>
  <si>
    <t xml:space="preserve">Passenger Summer 205/55 R16 91V</t>
  </si>
  <si>
    <t xml:space="preserve">PASSENGER</t>
  </si>
  <si>
    <t xml:space="preserve">SUMMER</t>
  </si>
  <si>
    <t xml:space="preserve">205/55 R16 91V</t>
  </si>
  <si>
    <t xml:space="preserve">EA</t>
  </si>
  <si>
    <t xml:space="preserve">STANDARD</t>
  </si>
  <si>
    <t xml:space="preserve">ACTIVE</t>
  </si>
  <si>
    <t xml:space="preserve">2021-02-01</t>
  </si>
  <si>
    <t xml:space="preserve">Truck Regional 315/70 R22.5 156L</t>
  </si>
  <si>
    <t xml:space="preserve">TRUCK_BUS</t>
  </si>
  <si>
    <t xml:space="preserve">REGIONAL</t>
  </si>
  <si>
    <t xml:space="preserve">315/70 R22.5 156L</t>
  </si>
  <si>
    <t xml:space="preserve">Fitting Plus 2</t>
  </si>
  <si>
    <t xml:space="preserve">SERVICES</t>
  </si>
  <si>
    <t xml:space="preserve">FITTING</t>
  </si>
  <si>
    <t xml:space="preserve">HR</t>
  </si>
  <si>
    <t xml:space="preserve">Seasonal Storage Basic 1</t>
  </si>
  <si>
    <t xml:space="preserve">STORAGE</t>
  </si>
  <si>
    <t xml:space="preserve">REDUCED</t>
  </si>
  <si>
    <t xml:space="preserve">Valve Kit Standard 12</t>
  </si>
  <si>
    <t xml:space="preserve">ACCESSORIES</t>
  </si>
  <si>
    <t xml:space="preserve">VALVES</t>
  </si>
  <si>
    <t xml:space="preserve">Moto Sport 120/70 ZR17</t>
  </si>
  <si>
    <t xml:space="preserve">TWO_WHEEL</t>
  </si>
  <si>
    <t xml:space="preserve">SPORT</t>
  </si>
  <si>
    <t xml:space="preserve">120/70 ZR17</t>
  </si>
  <si>
    <t xml:space="preserve">PHASE_OUT</t>
  </si>
  <si>
    <t xml:space="preserve">Agri Tractor Radial 480/70 R34 149D</t>
  </si>
  <si>
    <t xml:space="preserve">AGRICULTURAL</t>
  </si>
  <si>
    <t xml:space="preserve">TRACTOR</t>
  </si>
  <si>
    <t xml:space="preserve">480/70 R34 149D</t>
  </si>
  <si>
    <t xml:space="preserve">Fleet Inspection On Site 4</t>
  </si>
  <si>
    <t xml:space="preserve">INSPECTION</t>
  </si>
  <si>
    <t xml:space="preserve">EXEMPT</t>
  </si>
  <si>
    <t xml:space="preserve">OrderDate</t>
  </si>
  <si>
    <t xml:space="preserve">OrderedQuantity</t>
  </si>
  <si>
    <t xml:space="preserve">AgreedUnitPrice</t>
  </si>
  <si>
    <t xml:space="preserve">OrderStatus</t>
  </si>
  <si>
    <t xml:space="preserve">SalesChannel</t>
  </si>
  <si>
    <t xml:space="preserve">RequestedDeliveryDate</t>
  </si>
  <si>
    <t xml:space="preserve">Rows with this OrderID and OrderLineNumber</t>
  </si>
  <si>
    <t xml:space="preserve">2026-03-24</t>
  </si>
  <si>
    <t xml:space="preserve">INVOICED</t>
  </si>
  <si>
    <t xml:space="preserve">PORTAL</t>
  </si>
  <si>
    <t xml:space="preserve">2026-03-31</t>
  </si>
  <si>
    <t xml:space="preserve">2026-03-24 10:15:00</t>
  </si>
  <si>
    <t xml:space="preserve">2026-03-27 16:40:00</t>
  </si>
  <si>
    <t xml:space="preserve">2026-03-30</t>
  </si>
  <si>
    <t xml:space="preserve">CONFIRMED</t>
  </si>
  <si>
    <t xml:space="preserve">EDI</t>
  </si>
  <si>
    <t xml:space="preserve">2026-04-09</t>
  </si>
  <si>
    <t xml:space="preserve">2026-03-30 08:05:00</t>
  </si>
  <si>
    <t xml:space="preserve">ContractVersion</t>
  </si>
  <si>
    <t xml:space="preserve">ExpectedDisposition</t>
  </si>
  <si>
    <t xml:space="preserve">ExpectedReason</t>
  </si>
  <si>
    <t xml:space="preserve">1.0</t>
  </si>
  <si>
    <t xml:space="preserve">1.1</t>
  </si>
</sst>
</file>

<file path=xl/styles.xml><?xml version="1.0" encoding="utf-8"?>
<styleSheet xmlns="http://schemas.openxmlformats.org/spreadsheetml/2006/main">
  <numFmts count="9">
    <numFmt numFmtId="164" formatCode="General"/>
    <numFmt numFmtId="165" formatCode="General"/>
    <numFmt numFmtId="166" formatCode="@"/>
    <numFmt numFmtId="167" formatCode="0"/>
    <numFmt numFmtId="168" formatCode="0.000"/>
    <numFmt numFmtId="169" formatCode="0.0000"/>
    <numFmt numFmtId="170" formatCode="0.00"/>
    <numFmt numFmtId="171" formatCode="0.00000"/>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1F3A5F"/>
      <name val="Arial"/>
      <family val="0"/>
      <charset val="1"/>
    </font>
    <font>
      <sz val="10"/>
      <name val="Consolas"/>
      <family val="0"/>
      <charset val="1"/>
    </font>
    <font>
      <b val="true"/>
      <sz val="10"/>
      <color rgb="FFFFFFFF"/>
      <name val="Arial"/>
      <family val="0"/>
      <charset val="1"/>
    </font>
    <font>
      <sz val="10"/>
      <color rgb="FF0000FF"/>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42" hidden="false" customHeight="true" outlineLevel="0" collapsed="false">
      <c r="A5" s="3" t="s">
        <v>4</v>
      </c>
      <c r="B5" s="4" t="s">
        <v>5</v>
      </c>
    </row>
    <row r="6" customFormat="false" ht="27.75" hidden="false" customHeight="true" outlineLevel="0" collapsed="false">
      <c r="A6" s="3" t="s">
        <v>6</v>
      </c>
      <c r="B6" s="4" t="s">
        <v>7</v>
      </c>
    </row>
    <row r="7" customFormat="false" ht="27.75" hidden="false" customHeight="true" outlineLevel="0" collapsed="false">
      <c r="A7" s="3" t="s">
        <v>8</v>
      </c>
      <c r="B7" s="4" t="s">
        <v>9</v>
      </c>
    </row>
    <row r="8" customFormat="false" ht="27.75" hidden="false" customHeight="true" outlineLevel="0" collapsed="false">
      <c r="A8" s="3" t="s">
        <v>10</v>
      </c>
      <c r="B8" s="4" t="s">
        <v>11</v>
      </c>
    </row>
    <row r="9" customFormat="false" ht="27.75" hidden="false" customHeight="true" outlineLevel="0" collapsed="false">
      <c r="A9" s="3" t="s">
        <v>12</v>
      </c>
      <c r="B9" s="4" t="s">
        <v>13</v>
      </c>
    </row>
    <row r="10" customFormat="false" ht="27.75" hidden="false" customHeight="true" outlineLevel="0" collapsed="false">
      <c r="A10" s="3" t="s">
        <v>14</v>
      </c>
      <c r="B10" s="4" t="s">
        <v>15</v>
      </c>
    </row>
    <row r="11" customFormat="false" ht="42" hidden="false" customHeight="true" outlineLevel="0" collapsed="false">
      <c r="A11" s="3" t="s">
        <v>16</v>
      </c>
      <c r="B11" s="4" t="s">
        <v>17</v>
      </c>
    </row>
    <row r="12" customFormat="false" ht="27.75" hidden="false" customHeight="true" outlineLevel="0" collapsed="false">
      <c r="A12" s="3" t="s">
        <v>18</v>
      </c>
      <c r="B12" s="4" t="s">
        <v>19</v>
      </c>
    </row>
    <row r="14" customFormat="false" ht="15" hidden="false" customHeight="false" outlineLevel="0" collapsed="false">
      <c r="A14" s="5" t="s">
        <v>20</v>
      </c>
    </row>
    <row r="15" customFormat="false" ht="27.75" hidden="false" customHeight="true" outlineLevel="0" collapsed="false">
      <c r="A15" s="6" t="s">
        <v>21</v>
      </c>
      <c r="B15" s="4" t="s">
        <v>22</v>
      </c>
    </row>
    <row r="16" customFormat="false" ht="27.75" hidden="false" customHeight="true" outlineLevel="0" collapsed="false">
      <c r="A16" s="6" t="s">
        <v>23</v>
      </c>
      <c r="B16" s="4" t="s">
        <v>24</v>
      </c>
    </row>
    <row r="17" customFormat="false" ht="15" hidden="false" customHeight="false" outlineLevel="0" collapsed="false">
      <c r="A17" s="6" t="s">
        <v>25</v>
      </c>
      <c r="B17" s="4" t="s">
        <v>26</v>
      </c>
    </row>
    <row r="18" customFormat="false" ht="27.75" hidden="false" customHeight="true" outlineLevel="0" collapsed="false">
      <c r="A18" s="6" t="s">
        <v>27</v>
      </c>
      <c r="B18" s="4" t="s">
        <v>28</v>
      </c>
    </row>
    <row r="19" customFormat="false" ht="27.75" hidden="false" customHeight="true" outlineLevel="0" collapsed="false">
      <c r="A19" s="6" t="s">
        <v>29</v>
      </c>
      <c r="B19" s="4" t="s">
        <v>30</v>
      </c>
    </row>
    <row r="20" customFormat="false" ht="15" hidden="false" customHeight="false" outlineLevel="0" collapsed="false">
      <c r="A20" s="6" t="s">
        <v>31</v>
      </c>
      <c r="B20" s="4" t="s">
        <v>32</v>
      </c>
    </row>
    <row r="21" customFormat="false" ht="15" hidden="false" customHeight="false" outlineLevel="0" collapsed="false">
      <c r="A21" s="6" t="s">
        <v>33</v>
      </c>
      <c r="B21" s="4" t="s">
        <v>34</v>
      </c>
    </row>
    <row r="22" customFormat="false" ht="15" hidden="false" customHeight="false" outlineLevel="0" collapsed="false">
      <c r="A22" s="6" t="s">
        <v>35</v>
      </c>
      <c r="B22" s="4" t="s">
        <v>36</v>
      </c>
    </row>
    <row r="23" customFormat="false" ht="27.75" hidden="false" customHeight="true" outlineLevel="0" collapsed="false">
      <c r="A23" s="6" t="s">
        <v>37</v>
      </c>
      <c r="B23"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4"/>
    <col collapsed="false" customWidth="true" hidden="false" outlineLevel="0" max="4" min="3" style="0" width="16"/>
    <col collapsed="false" customWidth="true" hidden="false" outlineLevel="0" max="5" min="5" style="0" width="24"/>
    <col collapsed="false" customWidth="true" hidden="false" outlineLevel="0" max="7" min="6" style="0" width="62"/>
    <col collapsed="false" customWidth="true" hidden="false" outlineLevel="0" max="8" min="8" style="0" width="16"/>
  </cols>
  <sheetData>
    <row r="1" customFormat="false" ht="30" hidden="false" customHeight="true" outlineLevel="0" collapsed="false">
      <c r="A1" s="7" t="s">
        <v>39</v>
      </c>
      <c r="B1" s="7" t="s">
        <v>40</v>
      </c>
      <c r="C1" s="7" t="s">
        <v>41</v>
      </c>
      <c r="D1" s="7" t="s">
        <v>42</v>
      </c>
      <c r="E1" s="7" t="s">
        <v>43</v>
      </c>
      <c r="F1" s="7" t="s">
        <v>44</v>
      </c>
      <c r="G1" s="7" t="s">
        <v>45</v>
      </c>
      <c r="H1" s="7" t="s">
        <v>46</v>
      </c>
    </row>
    <row r="2" customFormat="false" ht="15" hidden="false" customHeight="false" outlineLevel="0" collapsed="false">
      <c r="A2" s="3" t="s">
        <v>47</v>
      </c>
      <c r="B2" s="4" t="s">
        <v>48</v>
      </c>
      <c r="C2" s="8" t="s">
        <v>49</v>
      </c>
      <c r="D2" s="8" t="s">
        <v>50</v>
      </c>
      <c r="E2" s="9" t="s">
        <v>51</v>
      </c>
      <c r="F2" s="10" t="s">
        <v>52</v>
      </c>
      <c r="G2" s="10" t="s">
        <v>52</v>
      </c>
      <c r="H2" s="8" t="str">
        <f aca="false">IF(F2=G2,"","changes")</f>
        <v/>
      </c>
    </row>
    <row r="3" customFormat="false" ht="15" hidden="false" customHeight="false" outlineLevel="0" collapsed="false">
      <c r="A3" s="3" t="s">
        <v>53</v>
      </c>
      <c r="B3" s="4" t="s">
        <v>54</v>
      </c>
      <c r="C3" s="8" t="s">
        <v>49</v>
      </c>
      <c r="D3" s="8" t="s">
        <v>50</v>
      </c>
      <c r="E3" s="9" t="s">
        <v>55</v>
      </c>
      <c r="F3" s="10" t="s">
        <v>52</v>
      </c>
      <c r="G3" s="10" t="s">
        <v>52</v>
      </c>
      <c r="H3" s="8" t="str">
        <f aca="false">IF(F3=G3,"","changes")</f>
        <v/>
      </c>
    </row>
    <row r="4" customFormat="false" ht="15" hidden="false" customHeight="false" outlineLevel="0" collapsed="false">
      <c r="A4" s="3" t="s">
        <v>56</v>
      </c>
      <c r="B4" s="4" t="s">
        <v>57</v>
      </c>
      <c r="C4" s="8" t="s">
        <v>49</v>
      </c>
      <c r="D4" s="8" t="s">
        <v>50</v>
      </c>
      <c r="E4" s="9" t="s">
        <v>58</v>
      </c>
      <c r="F4" s="10" t="s">
        <v>52</v>
      </c>
      <c r="G4" s="10" t="s">
        <v>52</v>
      </c>
      <c r="H4" s="8" t="str">
        <f aca="false">IF(F4=G4,"","changes")</f>
        <v/>
      </c>
    </row>
    <row r="5" customFormat="false" ht="15" hidden="false" customHeight="false" outlineLevel="0" collapsed="false">
      <c r="A5" s="3" t="s">
        <v>59</v>
      </c>
      <c r="B5" s="4" t="s">
        <v>60</v>
      </c>
      <c r="C5" s="8" t="s">
        <v>49</v>
      </c>
      <c r="D5" s="8" t="s">
        <v>50</v>
      </c>
      <c r="E5" s="9" t="s">
        <v>61</v>
      </c>
      <c r="F5" s="10" t="s">
        <v>52</v>
      </c>
      <c r="G5" s="10" t="s">
        <v>52</v>
      </c>
      <c r="H5" s="8" t="str">
        <f aca="false">IF(F5=G5,"","changes")</f>
        <v/>
      </c>
    </row>
    <row r="6" customFormat="false" ht="15" hidden="false" customHeight="false" outlineLevel="0" collapsed="false">
      <c r="A6" s="3" t="s">
        <v>62</v>
      </c>
      <c r="B6" s="4" t="s">
        <v>63</v>
      </c>
      <c r="C6" s="8" t="s">
        <v>49</v>
      </c>
      <c r="D6" s="8" t="s">
        <v>50</v>
      </c>
      <c r="E6" s="9" t="s">
        <v>64</v>
      </c>
      <c r="F6" s="10" t="s">
        <v>52</v>
      </c>
      <c r="G6" s="10" t="s">
        <v>52</v>
      </c>
      <c r="H6" s="8" t="str">
        <f aca="false">IF(F6=G6,"","changes")</f>
        <v/>
      </c>
    </row>
    <row r="7" customFormat="false" ht="15" hidden="false" customHeight="false" outlineLevel="0" collapsed="false">
      <c r="A7" s="3" t="s">
        <v>65</v>
      </c>
      <c r="B7" s="4" t="s">
        <v>66</v>
      </c>
      <c r="C7" s="8" t="s">
        <v>49</v>
      </c>
      <c r="D7" s="8" t="s">
        <v>50</v>
      </c>
      <c r="E7" s="9" t="s">
        <v>67</v>
      </c>
      <c r="F7" s="10" t="s">
        <v>52</v>
      </c>
      <c r="G7" s="10" t="s">
        <v>52</v>
      </c>
      <c r="H7" s="8" t="str">
        <f aca="false">IF(F7=G7,"","changes")</f>
        <v/>
      </c>
    </row>
    <row r="8" customFormat="false" ht="15" hidden="false" customHeight="false" outlineLevel="0" collapsed="false">
      <c r="A8" s="3" t="s">
        <v>68</v>
      </c>
      <c r="B8" s="4" t="s">
        <v>69</v>
      </c>
      <c r="C8" s="8" t="s">
        <v>49</v>
      </c>
      <c r="D8" s="8" t="s">
        <v>50</v>
      </c>
      <c r="E8" s="9" t="s">
        <v>70</v>
      </c>
      <c r="F8" s="10" t="s">
        <v>52</v>
      </c>
      <c r="G8" s="10" t="s">
        <v>52</v>
      </c>
      <c r="H8" s="8" t="str">
        <f aca="false">IF(F8=G8,"","changes")</f>
        <v/>
      </c>
    </row>
    <row r="9" customFormat="false" ht="13.5" hidden="false" customHeight="true" outlineLevel="0" collapsed="false">
      <c r="A9" s="3" t="s">
        <v>71</v>
      </c>
      <c r="B9" s="4" t="s">
        <v>72</v>
      </c>
      <c r="C9" s="8" t="s">
        <v>49</v>
      </c>
      <c r="D9" s="8" t="s">
        <v>50</v>
      </c>
      <c r="E9" s="9" t="s">
        <v>73</v>
      </c>
      <c r="F9" s="10" t="s">
        <v>52</v>
      </c>
      <c r="G9" s="10" t="s">
        <v>52</v>
      </c>
      <c r="H9" s="8" t="str">
        <f aca="false">IF(F9=G9,"","changes")</f>
        <v/>
      </c>
    </row>
    <row r="10" customFormat="false" ht="15" hidden="false" customHeight="false" outlineLevel="0" collapsed="false">
      <c r="A10" s="3" t="s">
        <v>74</v>
      </c>
      <c r="B10" s="4" t="s">
        <v>75</v>
      </c>
      <c r="C10" s="8" t="s">
        <v>76</v>
      </c>
      <c r="D10" s="8" t="s">
        <v>76</v>
      </c>
      <c r="E10" s="9" t="s">
        <v>77</v>
      </c>
      <c r="F10" s="10" t="s">
        <v>78</v>
      </c>
      <c r="G10" s="10" t="s">
        <v>78</v>
      </c>
      <c r="H10" s="8" t="str">
        <f aca="false">IF(F10=G10,"","changes")</f>
        <v/>
      </c>
    </row>
    <row r="11" customFormat="false" ht="15" hidden="false" customHeight="false" outlineLevel="0" collapsed="false">
      <c r="A11" s="3" t="s">
        <v>79</v>
      </c>
      <c r="B11" s="4" t="s">
        <v>80</v>
      </c>
      <c r="C11" s="8" t="s">
        <v>76</v>
      </c>
      <c r="D11" s="8" t="s">
        <v>76</v>
      </c>
      <c r="E11" s="9" t="s">
        <v>81</v>
      </c>
      <c r="F11" s="10" t="s">
        <v>78</v>
      </c>
      <c r="G11" s="10" t="s">
        <v>78</v>
      </c>
      <c r="H11" s="8" t="str">
        <f aca="false">IF(F11=G11,"","changes")</f>
        <v/>
      </c>
    </row>
    <row r="12" customFormat="false" ht="15" hidden="false" customHeight="false" outlineLevel="0" collapsed="false">
      <c r="A12" s="3" t="s">
        <v>82</v>
      </c>
      <c r="B12" s="4" t="s">
        <v>83</v>
      </c>
      <c r="C12" s="8" t="s">
        <v>76</v>
      </c>
      <c r="D12" s="8" t="s">
        <v>76</v>
      </c>
      <c r="E12" s="9" t="s">
        <v>84</v>
      </c>
      <c r="F12" s="10" t="s">
        <v>85</v>
      </c>
      <c r="G12" s="10" t="s">
        <v>85</v>
      </c>
      <c r="H12" s="8" t="str">
        <f aca="false">IF(F12=G12,"","changes")</f>
        <v/>
      </c>
    </row>
    <row r="13" customFormat="false" ht="15" hidden="false" customHeight="false" outlineLevel="0" collapsed="false">
      <c r="A13" s="3" t="s">
        <v>86</v>
      </c>
      <c r="B13" s="4" t="s">
        <v>87</v>
      </c>
      <c r="C13" s="8" t="s">
        <v>88</v>
      </c>
      <c r="D13" s="8" t="s">
        <v>88</v>
      </c>
      <c r="E13" s="9" t="s">
        <v>89</v>
      </c>
      <c r="F13" s="10" t="s">
        <v>90</v>
      </c>
      <c r="G13" s="10" t="s">
        <v>90</v>
      </c>
      <c r="H13" s="8" t="str">
        <f aca="false">IF(F13=G13,"","changes")</f>
        <v/>
      </c>
    </row>
    <row r="14" customFormat="false" ht="15" hidden="false" customHeight="false" outlineLevel="0" collapsed="false">
      <c r="A14" s="3" t="s">
        <v>91</v>
      </c>
      <c r="B14" s="4" t="s">
        <v>92</v>
      </c>
      <c r="C14" s="8" t="s">
        <v>88</v>
      </c>
      <c r="D14" s="8" t="s">
        <v>88</v>
      </c>
      <c r="E14" s="9" t="s">
        <v>93</v>
      </c>
      <c r="F14" s="10" t="s">
        <v>90</v>
      </c>
      <c r="G14" s="10" t="s">
        <v>90</v>
      </c>
      <c r="H14" s="8" t="str">
        <f aca="false">IF(F14=G14,"","changes")</f>
        <v/>
      </c>
    </row>
    <row r="15" customFormat="false" ht="15" hidden="false" customHeight="false" outlineLevel="0" collapsed="false">
      <c r="A15" s="3" t="s">
        <v>94</v>
      </c>
      <c r="B15" s="4" t="s">
        <v>95</v>
      </c>
      <c r="C15" s="8" t="s">
        <v>88</v>
      </c>
      <c r="D15" s="8" t="s">
        <v>88</v>
      </c>
      <c r="E15" s="9" t="s">
        <v>96</v>
      </c>
      <c r="F15" s="10" t="s">
        <v>90</v>
      </c>
      <c r="G15" s="10" t="s">
        <v>90</v>
      </c>
      <c r="H15" s="8" t="str">
        <f aca="false">IF(F15=G15,"","changes")</f>
        <v/>
      </c>
    </row>
    <row r="16" customFormat="false" ht="15" hidden="false" customHeight="false" outlineLevel="0" collapsed="false">
      <c r="A16" s="3" t="s">
        <v>97</v>
      </c>
      <c r="B16" s="4" t="s">
        <v>98</v>
      </c>
      <c r="C16" s="8" t="s">
        <v>88</v>
      </c>
      <c r="D16" s="8" t="s">
        <v>88</v>
      </c>
      <c r="E16" s="9" t="s">
        <v>99</v>
      </c>
      <c r="F16" s="10" t="s">
        <v>90</v>
      </c>
      <c r="G16" s="10" t="s">
        <v>90</v>
      </c>
      <c r="H16" s="8" t="str">
        <f aca="false">IF(F16=G16,"","changes")</f>
        <v/>
      </c>
    </row>
    <row r="17" customFormat="false" ht="15" hidden="false" customHeight="false" outlineLevel="0" collapsed="false">
      <c r="A17" s="3" t="s">
        <v>100</v>
      </c>
      <c r="B17" s="4" t="s">
        <v>101</v>
      </c>
      <c r="C17" s="8" t="s">
        <v>88</v>
      </c>
      <c r="D17" s="8" t="s">
        <v>88</v>
      </c>
      <c r="E17" s="9" t="s">
        <v>102</v>
      </c>
      <c r="F17" s="10" t="s">
        <v>90</v>
      </c>
      <c r="G17" s="10" t="s">
        <v>90</v>
      </c>
      <c r="H17" s="8" t="str">
        <f aca="false">IF(F17=G17,"","changes")</f>
        <v/>
      </c>
    </row>
    <row r="18" customFormat="false" ht="15" hidden="false" customHeight="false" outlineLevel="0" collapsed="false">
      <c r="A18" s="3" t="s">
        <v>103</v>
      </c>
      <c r="B18" s="4" t="s">
        <v>104</v>
      </c>
      <c r="C18" s="8" t="s">
        <v>105</v>
      </c>
      <c r="D18" s="8" t="s">
        <v>105</v>
      </c>
      <c r="E18" s="9" t="s">
        <v>106</v>
      </c>
      <c r="F18" s="10" t="s">
        <v>107</v>
      </c>
      <c r="G18" s="10" t="s">
        <v>107</v>
      </c>
      <c r="H18" s="8" t="str">
        <f aca="false">IF(F18=G18,"","changes")</f>
        <v/>
      </c>
    </row>
    <row r="19" customFormat="false" ht="27.75" hidden="false" customHeight="true" outlineLevel="0" collapsed="false">
      <c r="A19" s="3" t="s">
        <v>108</v>
      </c>
      <c r="B19" s="4" t="s">
        <v>109</v>
      </c>
      <c r="C19" s="8" t="s">
        <v>105</v>
      </c>
      <c r="D19" s="8" t="s">
        <v>105</v>
      </c>
      <c r="E19" s="9" t="s">
        <v>110</v>
      </c>
      <c r="F19" s="10" t="s">
        <v>111</v>
      </c>
      <c r="G19" s="10" t="s">
        <v>111</v>
      </c>
      <c r="H19" s="8" t="str">
        <f aca="false">IF(F19=G19,"","changes")</f>
        <v/>
      </c>
    </row>
    <row r="20" customFormat="false" ht="27.75" hidden="false" customHeight="true" outlineLevel="0" collapsed="false">
      <c r="A20" s="3" t="s">
        <v>112</v>
      </c>
      <c r="B20" s="4" t="s">
        <v>113</v>
      </c>
      <c r="C20" s="8" t="s">
        <v>105</v>
      </c>
      <c r="D20" s="8" t="s">
        <v>105</v>
      </c>
      <c r="E20" s="9" t="s">
        <v>114</v>
      </c>
      <c r="F20" s="10" t="s">
        <v>115</v>
      </c>
      <c r="G20" s="10" t="s">
        <v>115</v>
      </c>
      <c r="H20" s="8" t="str">
        <f aca="false">IF(F20=G20,"","changes")</f>
        <v/>
      </c>
    </row>
    <row r="21" customFormat="false" ht="42" hidden="false" customHeight="true" outlineLevel="0" collapsed="false">
      <c r="A21" s="3" t="s">
        <v>116</v>
      </c>
      <c r="B21" s="4" t="s">
        <v>117</v>
      </c>
      <c r="C21" s="8" t="s">
        <v>105</v>
      </c>
      <c r="D21" s="8" t="s">
        <v>105</v>
      </c>
      <c r="E21" s="9" t="s">
        <v>118</v>
      </c>
      <c r="F21" s="10" t="s">
        <v>119</v>
      </c>
      <c r="G21" s="10" t="s">
        <v>119</v>
      </c>
      <c r="H21" s="8" t="str">
        <f aca="false">IF(F21=G21,"","changes")</f>
        <v/>
      </c>
    </row>
    <row r="22" customFormat="false" ht="15" hidden="false" customHeight="false" outlineLevel="0" collapsed="false">
      <c r="A22" s="3" t="s">
        <v>120</v>
      </c>
      <c r="B22" s="4" t="s">
        <v>121</v>
      </c>
      <c r="C22" s="8" t="s">
        <v>76</v>
      </c>
      <c r="D22" s="8" t="s">
        <v>76</v>
      </c>
      <c r="E22" s="9" t="s">
        <v>122</v>
      </c>
      <c r="F22" s="10" t="s">
        <v>123</v>
      </c>
      <c r="G22" s="10" t="s">
        <v>123</v>
      </c>
      <c r="H22" s="8" t="str">
        <f aca="false">IF(F22=G22,"","changes")</f>
        <v/>
      </c>
    </row>
    <row r="23" customFormat="false" ht="27.75" hidden="false" customHeight="true" outlineLevel="0" collapsed="false">
      <c r="A23" s="3" t="s">
        <v>124</v>
      </c>
      <c r="B23" s="4" t="s">
        <v>125</v>
      </c>
      <c r="C23" s="8" t="s">
        <v>126</v>
      </c>
      <c r="D23" s="8" t="s">
        <v>126</v>
      </c>
      <c r="E23" s="9" t="s">
        <v>127</v>
      </c>
      <c r="F23" s="10" t="s">
        <v>128</v>
      </c>
      <c r="G23" s="10" t="s">
        <v>128</v>
      </c>
      <c r="H23" s="8" t="str">
        <f aca="false">IF(F23=G23,"","changes")</f>
        <v/>
      </c>
    </row>
    <row r="24" customFormat="false" ht="15" hidden="false" customHeight="false" outlineLevel="0" collapsed="false">
      <c r="A24" s="3" t="s">
        <v>129</v>
      </c>
      <c r="B24" s="4" t="s">
        <v>130</v>
      </c>
      <c r="C24" s="8" t="s">
        <v>131</v>
      </c>
      <c r="D24" s="8" t="s">
        <v>131</v>
      </c>
      <c r="E24" s="9" t="s">
        <v>132</v>
      </c>
      <c r="F24" s="10" t="s">
        <v>133</v>
      </c>
      <c r="G24" s="10" t="s">
        <v>133</v>
      </c>
      <c r="H24" s="8" t="str">
        <f aca="false">IF(F24=G24,"","changes")</f>
        <v/>
      </c>
    </row>
    <row r="25" customFormat="false" ht="15" hidden="false" customHeight="false" outlineLevel="0" collapsed="false">
      <c r="A25" s="3" t="s">
        <v>134</v>
      </c>
      <c r="B25" s="4" t="s">
        <v>135</v>
      </c>
      <c r="C25" s="8" t="s">
        <v>131</v>
      </c>
      <c r="D25" s="8" t="s">
        <v>131</v>
      </c>
      <c r="E25" s="9" t="s">
        <v>136</v>
      </c>
      <c r="F25" s="10" t="s">
        <v>133</v>
      </c>
      <c r="G25" s="10" t="s">
        <v>133</v>
      </c>
      <c r="H25" s="8" t="str">
        <f aca="false">IF(F25=G25,"","changes")</f>
        <v/>
      </c>
    </row>
    <row r="26" customFormat="false" ht="15" hidden="false" customHeight="false" outlineLevel="0" collapsed="false">
      <c r="A26" s="3" t="s">
        <v>137</v>
      </c>
      <c r="B26" s="4" t="s">
        <v>138</v>
      </c>
      <c r="C26" s="8" t="s">
        <v>131</v>
      </c>
      <c r="D26" s="8" t="s">
        <v>131</v>
      </c>
      <c r="E26" s="9" t="s">
        <v>139</v>
      </c>
      <c r="F26" s="10" t="s">
        <v>133</v>
      </c>
      <c r="G26" s="10" t="s">
        <v>133</v>
      </c>
      <c r="H26" s="8" t="str">
        <f aca="false">IF(F26=G26,"","changes")</f>
        <v/>
      </c>
    </row>
    <row r="27" customFormat="false" ht="15" hidden="false" customHeight="false" outlineLevel="0" collapsed="false">
      <c r="A27" s="3" t="s">
        <v>140</v>
      </c>
      <c r="B27" s="4" t="s">
        <v>141</v>
      </c>
      <c r="C27" s="8" t="s">
        <v>142</v>
      </c>
      <c r="D27" s="8" t="s">
        <v>142</v>
      </c>
      <c r="E27" s="9" t="s">
        <v>143</v>
      </c>
      <c r="F27" s="10" t="s">
        <v>144</v>
      </c>
      <c r="G27" s="10" t="s">
        <v>144</v>
      </c>
      <c r="H27" s="8" t="str">
        <f aca="false">IF(F27=G27,"","changes")</f>
        <v/>
      </c>
    </row>
    <row r="28" customFormat="false" ht="15" hidden="false" customHeight="false" outlineLevel="0" collapsed="false">
      <c r="A28" s="3" t="s">
        <v>145</v>
      </c>
      <c r="B28" s="4" t="s">
        <v>146</v>
      </c>
      <c r="C28" s="8" t="s">
        <v>142</v>
      </c>
      <c r="D28" s="8" t="s">
        <v>142</v>
      </c>
      <c r="E28" s="9" t="s">
        <v>147</v>
      </c>
      <c r="F28" s="10" t="s">
        <v>148</v>
      </c>
      <c r="G28" s="10" t="s">
        <v>148</v>
      </c>
      <c r="H28" s="8" t="str">
        <f aca="false">IF(F28=G28,"","changes")</f>
        <v/>
      </c>
    </row>
    <row r="29" customFormat="false" ht="15" hidden="false" customHeight="false" outlineLevel="0" collapsed="false">
      <c r="A29" s="3" t="s">
        <v>149</v>
      </c>
      <c r="B29" s="4" t="s">
        <v>150</v>
      </c>
      <c r="C29" s="8" t="s">
        <v>142</v>
      </c>
      <c r="D29" s="8" t="s">
        <v>142</v>
      </c>
      <c r="E29" s="9" t="s">
        <v>151</v>
      </c>
      <c r="F29" s="10" t="s">
        <v>144</v>
      </c>
      <c r="G29" s="10" t="s">
        <v>144</v>
      </c>
      <c r="H29" s="8" t="str">
        <f aca="false">IF(F29=G29,"","changes")</f>
        <v/>
      </c>
    </row>
    <row r="30" customFormat="false" ht="15" hidden="false" customHeight="false" outlineLevel="0" collapsed="false">
      <c r="A30" s="3" t="s">
        <v>152</v>
      </c>
      <c r="B30" s="4" t="s">
        <v>153</v>
      </c>
      <c r="C30" s="8" t="s">
        <v>154</v>
      </c>
      <c r="D30" s="8" t="s">
        <v>154</v>
      </c>
      <c r="E30" s="9" t="s">
        <v>155</v>
      </c>
      <c r="F30" s="10" t="s">
        <v>156</v>
      </c>
      <c r="G30" s="10" t="s">
        <v>156</v>
      </c>
      <c r="H30" s="8" t="str">
        <f aca="false">IF(F30=G30,"","changes")</f>
        <v/>
      </c>
    </row>
    <row r="31" customFormat="false" ht="15" hidden="false" customHeight="false" outlineLevel="0" collapsed="false">
      <c r="A31" s="3" t="s">
        <v>157</v>
      </c>
      <c r="B31" s="4" t="s">
        <v>158</v>
      </c>
      <c r="C31" s="8" t="s">
        <v>154</v>
      </c>
      <c r="D31" s="8" t="s">
        <v>154</v>
      </c>
      <c r="E31" s="9" t="s">
        <v>159</v>
      </c>
      <c r="F31" s="10" t="s">
        <v>160</v>
      </c>
      <c r="G31" s="10" t="s">
        <v>160</v>
      </c>
      <c r="H31" s="8" t="str">
        <f aca="false">IF(F31=G31,"","changes")</f>
        <v/>
      </c>
    </row>
    <row r="32" customFormat="false" ht="15" hidden="false" customHeight="false" outlineLevel="0" collapsed="false">
      <c r="A32" s="3" t="s">
        <v>161</v>
      </c>
      <c r="B32" s="4" t="s">
        <v>162</v>
      </c>
      <c r="C32" s="8" t="s">
        <v>142</v>
      </c>
      <c r="D32" s="8" t="s">
        <v>142</v>
      </c>
      <c r="E32" s="9" t="s">
        <v>163</v>
      </c>
      <c r="F32" s="10" t="s">
        <v>144</v>
      </c>
      <c r="G32" s="10" t="s">
        <v>144</v>
      </c>
      <c r="H32" s="8" t="str">
        <f aca="false">IF(F32=G32,"","changes")</f>
        <v/>
      </c>
    </row>
    <row r="33" customFormat="false" ht="15" hidden="false" customHeight="false" outlineLevel="0" collapsed="false">
      <c r="A33" s="3" t="s">
        <v>164</v>
      </c>
      <c r="B33" s="4" t="s">
        <v>165</v>
      </c>
      <c r="C33" s="8" t="s">
        <v>131</v>
      </c>
      <c r="D33" s="8" t="s">
        <v>131</v>
      </c>
      <c r="E33" s="9" t="s">
        <v>166</v>
      </c>
      <c r="F33" s="10" t="s">
        <v>133</v>
      </c>
      <c r="G33" s="10" t="s">
        <v>133</v>
      </c>
      <c r="H33" s="8" t="str">
        <f aca="false">IF(F33=G33,"","changes")</f>
        <v/>
      </c>
    </row>
    <row r="34" customFormat="false" ht="13.5" hidden="false" customHeight="true" outlineLevel="0" collapsed="false">
      <c r="A34" s="3" t="s">
        <v>167</v>
      </c>
      <c r="B34" s="4" t="s">
        <v>168</v>
      </c>
      <c r="C34" s="8" t="s">
        <v>169</v>
      </c>
      <c r="D34" s="8" t="s">
        <v>169</v>
      </c>
      <c r="E34" s="9" t="s">
        <v>170</v>
      </c>
      <c r="F34" s="10" t="s">
        <v>171</v>
      </c>
      <c r="G34" s="10" t="s">
        <v>171</v>
      </c>
      <c r="H34" s="8" t="str">
        <f aca="false">IF(F34=G34,"","changes")</f>
        <v/>
      </c>
    </row>
    <row r="35" customFormat="false" ht="13.5" hidden="false" customHeight="true" outlineLevel="0" collapsed="false">
      <c r="A35" s="3" t="s">
        <v>172</v>
      </c>
      <c r="B35" s="4" t="s">
        <v>173</v>
      </c>
      <c r="C35" s="8" t="s">
        <v>169</v>
      </c>
      <c r="D35" s="8" t="s">
        <v>169</v>
      </c>
      <c r="E35" s="9" t="s">
        <v>174</v>
      </c>
      <c r="F35" s="10" t="s">
        <v>171</v>
      </c>
      <c r="G35" s="10" t="s">
        <v>171</v>
      </c>
      <c r="H35" s="8" t="str">
        <f aca="false">IF(F35=G35,"","changes")</f>
        <v/>
      </c>
    </row>
    <row r="36" customFormat="false" ht="15" hidden="false" customHeight="false" outlineLevel="0" collapsed="false">
      <c r="A36" s="3" t="s">
        <v>175</v>
      </c>
      <c r="B36" s="4" t="s">
        <v>176</v>
      </c>
      <c r="C36" s="8" t="s">
        <v>154</v>
      </c>
      <c r="D36" s="8" t="s">
        <v>154</v>
      </c>
      <c r="E36" s="9" t="s">
        <v>177</v>
      </c>
      <c r="F36" s="10" t="s">
        <v>156</v>
      </c>
      <c r="G36" s="10" t="s">
        <v>156</v>
      </c>
      <c r="H36" s="8" t="str">
        <f aca="false">IF(F36=G36,"","changes")</f>
        <v/>
      </c>
    </row>
    <row r="37" customFormat="false" ht="15" hidden="false" customHeight="false" outlineLevel="0" collapsed="false">
      <c r="A37" s="3" t="s">
        <v>178</v>
      </c>
      <c r="B37" s="4" t="s">
        <v>179</v>
      </c>
      <c r="C37" s="8" t="s">
        <v>49</v>
      </c>
      <c r="D37" s="8" t="s">
        <v>180</v>
      </c>
      <c r="E37" s="9" t="s">
        <v>181</v>
      </c>
      <c r="F37" s="10" t="s">
        <v>52</v>
      </c>
      <c r="G37" s="10" t="s">
        <v>182</v>
      </c>
      <c r="H37" s="8" t="str">
        <f aca="false">IF(F37=G37,"","changes")</f>
        <v>changes</v>
      </c>
    </row>
    <row r="38" customFormat="false" ht="15" hidden="false" customHeight="false" outlineLevel="0" collapsed="false">
      <c r="A38" s="3" t="s">
        <v>183</v>
      </c>
      <c r="B38" s="4" t="s">
        <v>184</v>
      </c>
      <c r="C38" s="8" t="s">
        <v>49</v>
      </c>
      <c r="D38" s="8" t="s">
        <v>180</v>
      </c>
      <c r="E38" s="9" t="s">
        <v>185</v>
      </c>
      <c r="F38" s="10" t="s">
        <v>52</v>
      </c>
      <c r="G38" s="10" t="s">
        <v>186</v>
      </c>
      <c r="H38" s="8" t="str">
        <f aca="false">IF(F38=G38,"","changes")</f>
        <v>changes</v>
      </c>
    </row>
    <row r="39" customFormat="false" ht="15" hidden="false" customHeight="false" outlineLevel="0" collapsed="false">
      <c r="A39" s="3" t="s">
        <v>187</v>
      </c>
      <c r="B39" s="4" t="s">
        <v>188</v>
      </c>
      <c r="C39" s="8" t="s">
        <v>49</v>
      </c>
      <c r="D39" s="8" t="s">
        <v>180</v>
      </c>
      <c r="E39" s="9" t="s">
        <v>189</v>
      </c>
      <c r="F39" s="10" t="s">
        <v>52</v>
      </c>
      <c r="G39" s="10" t="s">
        <v>186</v>
      </c>
      <c r="H39" s="8" t="str">
        <f aca="false">IF(F39=G39,"","changes")</f>
        <v>changes</v>
      </c>
    </row>
    <row r="40" customFormat="false" ht="15" hidden="false" customHeight="false" outlineLevel="0" collapsed="false">
      <c r="A40" s="3" t="s">
        <v>190</v>
      </c>
      <c r="B40" s="4" t="s">
        <v>191</v>
      </c>
      <c r="C40" s="8" t="s">
        <v>49</v>
      </c>
      <c r="D40" s="8" t="s">
        <v>180</v>
      </c>
      <c r="E40" s="9" t="s">
        <v>192</v>
      </c>
      <c r="F40" s="10" t="s">
        <v>52</v>
      </c>
      <c r="G40" s="10" t="s">
        <v>193</v>
      </c>
      <c r="H40" s="8" t="str">
        <f aca="false">IF(F40=G40,"","changes")</f>
        <v>changes</v>
      </c>
    </row>
    <row r="41" customFormat="false" ht="15" hidden="false" customHeight="false" outlineLevel="0" collapsed="false">
      <c r="A41" s="3" t="s">
        <v>194</v>
      </c>
      <c r="B41" s="4" t="s">
        <v>195</v>
      </c>
      <c r="C41" s="8" t="s">
        <v>49</v>
      </c>
      <c r="D41" s="8" t="s">
        <v>50</v>
      </c>
      <c r="E41" s="9" t="s">
        <v>196</v>
      </c>
      <c r="F41" s="10" t="s">
        <v>52</v>
      </c>
      <c r="G41" s="10" t="s">
        <v>52</v>
      </c>
      <c r="H41" s="8" t="str">
        <f aca="false">IF(F41=G41,"","changes")</f>
        <v/>
      </c>
    </row>
    <row r="42" customFormat="false" ht="15" hidden="false" customHeight="false" outlineLevel="0" collapsed="false">
      <c r="A42" s="3" t="s">
        <v>197</v>
      </c>
      <c r="B42" s="4" t="s">
        <v>198</v>
      </c>
      <c r="C42" s="8" t="s">
        <v>49</v>
      </c>
      <c r="D42" s="8" t="s">
        <v>180</v>
      </c>
      <c r="E42" s="9" t="s">
        <v>199</v>
      </c>
      <c r="F42" s="10" t="s">
        <v>52</v>
      </c>
      <c r="G42" s="10" t="s">
        <v>186</v>
      </c>
      <c r="H42" s="8" t="str">
        <f aca="false">IF(F42=G42,"","changes")</f>
        <v>changes</v>
      </c>
    </row>
    <row r="43" customFormat="false" ht="15" hidden="false" customHeight="false" outlineLevel="0" collapsed="false">
      <c r="A43" s="3" t="s">
        <v>200</v>
      </c>
      <c r="B43" s="4" t="s">
        <v>201</v>
      </c>
      <c r="C43" s="8" t="s">
        <v>169</v>
      </c>
      <c r="D43" s="8" t="s">
        <v>169</v>
      </c>
      <c r="E43" s="9" t="s">
        <v>202</v>
      </c>
      <c r="F43" s="10" t="s">
        <v>171</v>
      </c>
      <c r="G43" s="10" t="s">
        <v>171</v>
      </c>
      <c r="H43" s="8" t="str">
        <f aca="false">IF(F43=G43,"","changes")</f>
        <v/>
      </c>
    </row>
    <row r="44" customFormat="false" ht="15" hidden="false" customHeight="false" outlineLevel="0" collapsed="false">
      <c r="A44" s="3" t="s">
        <v>203</v>
      </c>
      <c r="B44" s="4" t="s">
        <v>204</v>
      </c>
      <c r="C44" s="8" t="s">
        <v>49</v>
      </c>
      <c r="D44" s="8" t="s">
        <v>50</v>
      </c>
      <c r="E44" s="9" t="s">
        <v>205</v>
      </c>
      <c r="F44" s="10" t="s">
        <v>52</v>
      </c>
      <c r="G44" s="10" t="s">
        <v>52</v>
      </c>
      <c r="H44" s="8" t="str">
        <f aca="false">IF(F44=G44,"","changes")</f>
        <v/>
      </c>
    </row>
    <row r="45" customFormat="false" ht="15" hidden="false" customHeight="false" outlineLevel="0" collapsed="false">
      <c r="A45" s="3" t="s">
        <v>206</v>
      </c>
      <c r="B45" s="4" t="s">
        <v>207</v>
      </c>
      <c r="C45" s="8" t="s">
        <v>49</v>
      </c>
      <c r="D45" s="8" t="s">
        <v>50</v>
      </c>
      <c r="E45" s="9" t="s">
        <v>208</v>
      </c>
      <c r="F45" s="10" t="s">
        <v>52</v>
      </c>
      <c r="G45" s="10" t="s">
        <v>52</v>
      </c>
      <c r="H45" s="8" t="str">
        <f aca="false">IF(F45=G45,"","changes")</f>
        <v/>
      </c>
    </row>
    <row r="46" customFormat="false" ht="15" hidden="false" customHeight="false" outlineLevel="0" collapsed="false">
      <c r="A46" s="3" t="s">
        <v>209</v>
      </c>
      <c r="B46" s="4" t="s">
        <v>210</v>
      </c>
      <c r="C46" s="8" t="s">
        <v>49</v>
      </c>
      <c r="D46" s="8" t="s">
        <v>50</v>
      </c>
      <c r="E46" s="9" t="s">
        <v>211</v>
      </c>
      <c r="F46" s="10" t="s">
        <v>52</v>
      </c>
      <c r="G46" s="10" t="s">
        <v>52</v>
      </c>
      <c r="H46" s="8" t="str">
        <f aca="false">IF(F46=G46,"","changes")</f>
        <v/>
      </c>
    </row>
    <row r="47" customFormat="false" ht="15" hidden="false" customHeight="false" outlineLevel="0" collapsed="false">
      <c r="A47" s="3" t="s">
        <v>212</v>
      </c>
      <c r="B47" s="4" t="s">
        <v>213</v>
      </c>
      <c r="C47" s="8" t="s">
        <v>49</v>
      </c>
      <c r="D47" s="8" t="s">
        <v>50</v>
      </c>
      <c r="E47" s="9" t="s">
        <v>214</v>
      </c>
      <c r="F47" s="10" t="s">
        <v>52</v>
      </c>
      <c r="G47" s="10" t="s">
        <v>52</v>
      </c>
      <c r="H47" s="8" t="str">
        <f aca="false">IF(F47=G47,"","changes")</f>
        <v/>
      </c>
    </row>
    <row r="48" customFormat="false" ht="15" hidden="false" customHeight="false" outlineLevel="0" collapsed="false">
      <c r="A48" s="3" t="s">
        <v>215</v>
      </c>
      <c r="B48" s="4" t="s">
        <v>216</v>
      </c>
      <c r="C48" s="8" t="s">
        <v>49</v>
      </c>
      <c r="D48" s="8" t="s">
        <v>50</v>
      </c>
      <c r="E48" s="9" t="s">
        <v>217</v>
      </c>
      <c r="F48" s="10" t="s">
        <v>52</v>
      </c>
      <c r="G48" s="10" t="s">
        <v>52</v>
      </c>
      <c r="H48" s="8" t="str">
        <f aca="false">IF(F48=G48,"","changes")</f>
        <v/>
      </c>
    </row>
    <row r="49" customFormat="false" ht="15" hidden="false" customHeight="false" outlineLevel="0" collapsed="false">
      <c r="A49" s="3" t="s">
        <v>218</v>
      </c>
      <c r="B49" s="4" t="s">
        <v>219</v>
      </c>
      <c r="C49" s="8" t="s">
        <v>76</v>
      </c>
      <c r="D49" s="8" t="s">
        <v>76</v>
      </c>
      <c r="E49" s="9" t="s">
        <v>220</v>
      </c>
      <c r="F49" s="10" t="s">
        <v>78</v>
      </c>
      <c r="G49" s="10" t="s">
        <v>78</v>
      </c>
      <c r="H49" s="8" t="str">
        <f aca="false">IF(F49=G49,"","changes")</f>
        <v/>
      </c>
    </row>
    <row r="51" customFormat="false" ht="15" hidden="false" customHeight="false" outlineLevel="0" collapsed="false">
      <c r="A51" s="11" t="s">
        <v>221</v>
      </c>
      <c r="B51" s="12" t="n">
        <f aca="false">COUNTA(A2:A49)</f>
        <v>48</v>
      </c>
    </row>
    <row r="52" customFormat="false" ht="15" hidden="false" customHeight="false" outlineLevel="0" collapsed="false">
      <c r="A52" s="11" t="s">
        <v>222</v>
      </c>
      <c r="B52" s="12" t="n">
        <f aca="false">COUNTIF(H2:H49,"changes")</f>
        <v>5</v>
      </c>
      <c r="C52" s="2" t="s">
        <v>223</v>
      </c>
    </row>
  </sheetData>
  <autoFilter ref="A1:H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3"/>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14"/>
    <col collapsed="false" customWidth="true" hidden="false" outlineLevel="0" max="9" min="9" style="0" width="11"/>
    <col collapsed="false" customWidth="true" hidden="false" outlineLevel="0" max="10" min="10" style="0" width="10"/>
    <col collapsed="false" customWidth="true" hidden="false" outlineLevel="0" max="11" min="11" style="0" width="12"/>
    <col collapsed="false" customWidth="true" hidden="false" outlineLevel="0" max="13" min="12" style="0" width="10"/>
    <col collapsed="false" customWidth="true" hidden="false" outlineLevel="0" max="15" min="14" style="0" width="11"/>
    <col collapsed="false" customWidth="true" hidden="false" outlineLevel="0" max="18" min="16" style="0" width="9"/>
    <col collapsed="false" customWidth="true" hidden="false" outlineLevel="0" max="19" min="19" style="0" width="12"/>
    <col collapsed="false" customWidth="true" hidden="false" outlineLevel="0" max="20" min="20" style="0" width="13"/>
    <col collapsed="false" customWidth="true" hidden="false" outlineLevel="0" max="21" min="21" style="0" width="19"/>
    <col collapsed="false" customWidth="true" hidden="false" outlineLevel="0" max="22" min="22" style="0" width="14"/>
    <col collapsed="false" customWidth="true" hidden="false" outlineLevel="0" max="23" min="23" style="0" width="26"/>
    <col collapsed="false" customWidth="true" hidden="false" outlineLevel="0" max="24" min="24" style="0" width="14"/>
    <col collapsed="false" customWidth="true" hidden="false" outlineLevel="0" max="25" min="25" style="0" width="26"/>
  </cols>
  <sheetData>
    <row r="1" customFormat="false" ht="30" hidden="false" customHeight="true" outlineLevel="0" collapsed="false">
      <c r="A1" s="7" t="s">
        <v>224</v>
      </c>
      <c r="B1" s="7" t="s">
        <v>39</v>
      </c>
      <c r="C1" s="7" t="s">
        <v>225</v>
      </c>
      <c r="D1" s="7" t="s">
        <v>226</v>
      </c>
      <c r="E1" s="7" t="s">
        <v>227</v>
      </c>
      <c r="F1" s="7" t="s">
        <v>228</v>
      </c>
      <c r="G1" s="7" t="s">
        <v>229</v>
      </c>
      <c r="H1" s="7" t="s">
        <v>230</v>
      </c>
      <c r="I1" s="7" t="s">
        <v>231</v>
      </c>
      <c r="J1" s="7" t="s">
        <v>232</v>
      </c>
      <c r="K1" s="7" t="s">
        <v>233</v>
      </c>
      <c r="L1" s="7" t="s">
        <v>234</v>
      </c>
      <c r="M1" s="7" t="s">
        <v>235</v>
      </c>
      <c r="N1" s="7" t="s">
        <v>236</v>
      </c>
      <c r="O1" s="7" t="s">
        <v>237</v>
      </c>
      <c r="P1" s="7" t="s">
        <v>238</v>
      </c>
      <c r="Q1" s="7" t="s">
        <v>239</v>
      </c>
      <c r="R1" s="7" t="s">
        <v>240</v>
      </c>
      <c r="S1" s="7" t="s">
        <v>241</v>
      </c>
      <c r="T1" s="7" t="s">
        <v>242</v>
      </c>
      <c r="U1" s="7" t="s">
        <v>243</v>
      </c>
      <c r="V1" s="7" t="s">
        <v>244</v>
      </c>
      <c r="W1" s="7" t="s">
        <v>245</v>
      </c>
      <c r="X1" s="7" t="s">
        <v>246</v>
      </c>
      <c r="Y1" s="7" t="s">
        <v>247</v>
      </c>
    </row>
    <row r="2" customFormat="false" ht="15" hidden="false" customHeight="false" outlineLevel="0" collapsed="false">
      <c r="A2" s="13" t="s">
        <v>51</v>
      </c>
      <c r="B2" s="11" t="s">
        <v>47</v>
      </c>
      <c r="C2" s="13" t="s">
        <v>248</v>
      </c>
      <c r="D2" s="14" t="n">
        <v>1</v>
      </c>
      <c r="E2" s="13" t="s">
        <v>249</v>
      </c>
      <c r="F2" s="13" t="s">
        <v>250</v>
      </c>
      <c r="G2" s="13" t="s">
        <v>251</v>
      </c>
      <c r="H2" s="15" t="str">
        <f aca="false">"["&amp;G2&amp;"]"</f>
        <v>[POSTED]</v>
      </c>
      <c r="I2" s="13" t="s">
        <v>252</v>
      </c>
      <c r="J2" s="13" t="s">
        <v>253</v>
      </c>
      <c r="K2" s="13" t="s">
        <v>254</v>
      </c>
      <c r="L2" s="14" t="n">
        <v>1</v>
      </c>
      <c r="M2" s="16" t="n">
        <v>4</v>
      </c>
      <c r="N2" s="17" t="n">
        <v>91.7875</v>
      </c>
      <c r="O2" s="18" t="n">
        <v>367.15</v>
      </c>
      <c r="P2" s="17" t="n">
        <v>0.2</v>
      </c>
      <c r="Q2" s="13" t="s">
        <v>255</v>
      </c>
      <c r="R2" s="13" t="s">
        <v>256</v>
      </c>
      <c r="S2" s="13" t="s">
        <v>257</v>
      </c>
      <c r="T2" s="13" t="s">
        <v>258</v>
      </c>
      <c r="U2" s="13" t="s">
        <v>259</v>
      </c>
      <c r="V2" s="19" t="s">
        <v>52</v>
      </c>
      <c r="W2" s="19"/>
      <c r="X2" s="19" t="s">
        <v>52</v>
      </c>
      <c r="Y2" s="19"/>
    </row>
    <row r="3" customFormat="false" ht="15" hidden="false" customHeight="false" outlineLevel="0" collapsed="false">
      <c r="A3" s="13" t="s">
        <v>55</v>
      </c>
      <c r="B3" s="11" t="s">
        <v>53</v>
      </c>
      <c r="C3" s="13" t="s">
        <v>248</v>
      </c>
      <c r="D3" s="14" t="n">
        <v>2</v>
      </c>
      <c r="E3" s="13" t="s">
        <v>249</v>
      </c>
      <c r="F3" s="13" t="s">
        <v>250</v>
      </c>
      <c r="G3" s="13" t="s">
        <v>251</v>
      </c>
      <c r="H3" s="15" t="str">
        <f aca="false">"["&amp;G3&amp;"]"</f>
        <v>[POSTED]</v>
      </c>
      <c r="I3" s="13" t="s">
        <v>252</v>
      </c>
      <c r="J3" s="13" t="s">
        <v>260</v>
      </c>
      <c r="K3" s="13" t="s">
        <v>254</v>
      </c>
      <c r="L3" s="14" t="n">
        <v>2</v>
      </c>
      <c r="M3" s="16" t="n">
        <v>2.5</v>
      </c>
      <c r="N3" s="17" t="n">
        <v>12.25</v>
      </c>
      <c r="O3" s="18" t="n">
        <v>30.63</v>
      </c>
      <c r="P3" s="17" t="n">
        <v>0.2</v>
      </c>
      <c r="Q3" s="13" t="s">
        <v>255</v>
      </c>
      <c r="R3" s="13" t="s">
        <v>256</v>
      </c>
      <c r="S3" s="13" t="s">
        <v>257</v>
      </c>
      <c r="T3" s="13" t="s">
        <v>258</v>
      </c>
      <c r="U3" s="13" t="s">
        <v>259</v>
      </c>
      <c r="V3" s="19" t="s">
        <v>52</v>
      </c>
      <c r="W3" s="19"/>
      <c r="X3" s="19" t="s">
        <v>52</v>
      </c>
      <c r="Y3" s="19"/>
    </row>
    <row r="4" customFormat="false" ht="15" hidden="false" customHeight="false" outlineLevel="0" collapsed="false">
      <c r="A4" s="13" t="s">
        <v>58</v>
      </c>
      <c r="B4" s="11" t="s">
        <v>56</v>
      </c>
      <c r="C4" s="13" t="s">
        <v>261</v>
      </c>
      <c r="D4" s="14" t="n">
        <v>1</v>
      </c>
      <c r="E4" s="13" t="s">
        <v>249</v>
      </c>
      <c r="F4" s="13" t="s">
        <v>250</v>
      </c>
      <c r="G4" s="13" t="s">
        <v>251</v>
      </c>
      <c r="H4" s="15" t="str">
        <f aca="false">"["&amp;G4&amp;"]"</f>
        <v>[POSTED]</v>
      </c>
      <c r="I4" s="13" t="s">
        <v>262</v>
      </c>
      <c r="J4" s="13" t="s">
        <v>253</v>
      </c>
      <c r="K4" s="13" t="s">
        <v>263</v>
      </c>
      <c r="L4" s="14" t="n">
        <v>1</v>
      </c>
      <c r="M4" s="16" t="n">
        <v>8</v>
      </c>
      <c r="N4" s="17" t="n">
        <v>99.1305</v>
      </c>
      <c r="O4" s="18" t="n">
        <v>793.04</v>
      </c>
      <c r="P4" s="17"/>
      <c r="Q4" s="13" t="s">
        <v>264</v>
      </c>
      <c r="R4" s="13" t="s">
        <v>265</v>
      </c>
      <c r="S4" s="13" t="s">
        <v>266</v>
      </c>
      <c r="T4" s="13" t="s">
        <v>258</v>
      </c>
      <c r="U4" s="13" t="s">
        <v>259</v>
      </c>
      <c r="V4" s="19" t="s">
        <v>52</v>
      </c>
      <c r="W4" s="19"/>
      <c r="X4" s="19" t="s">
        <v>52</v>
      </c>
      <c r="Y4" s="19"/>
    </row>
    <row r="5" customFormat="false" ht="15" hidden="false" customHeight="false" outlineLevel="0" collapsed="false">
      <c r="A5" s="13" t="s">
        <v>61</v>
      </c>
      <c r="B5" s="11" t="s">
        <v>59</v>
      </c>
      <c r="C5" s="13" t="s">
        <v>267</v>
      </c>
      <c r="D5" s="14" t="n">
        <v>1</v>
      </c>
      <c r="E5" s="13" t="s">
        <v>249</v>
      </c>
      <c r="F5" s="13" t="s">
        <v>250</v>
      </c>
      <c r="G5" s="13" t="s">
        <v>251</v>
      </c>
      <c r="H5" s="15" t="str">
        <f aca="false">"["&amp;G5&amp;"]"</f>
        <v>[POSTED]</v>
      </c>
      <c r="I5" s="13" t="s">
        <v>268</v>
      </c>
      <c r="J5" s="13" t="s">
        <v>269</v>
      </c>
      <c r="K5" s="13" t="s">
        <v>270</v>
      </c>
      <c r="L5" s="14" t="n">
        <v>1</v>
      </c>
      <c r="M5" s="16" t="n">
        <v>1</v>
      </c>
      <c r="N5" s="17" t="n">
        <v>3</v>
      </c>
      <c r="O5" s="18" t="n">
        <v>3</v>
      </c>
      <c r="P5" s="17" t="n">
        <v>0.055</v>
      </c>
      <c r="Q5" s="13" t="s">
        <v>255</v>
      </c>
      <c r="R5" s="13" t="s">
        <v>256</v>
      </c>
      <c r="S5" s="13" t="s">
        <v>257</v>
      </c>
      <c r="T5" s="13" t="s">
        <v>258</v>
      </c>
      <c r="U5" s="13" t="s">
        <v>259</v>
      </c>
      <c r="V5" s="19" t="s">
        <v>52</v>
      </c>
      <c r="W5" s="19"/>
      <c r="X5" s="19" t="s">
        <v>52</v>
      </c>
      <c r="Y5" s="19"/>
    </row>
    <row r="6" customFormat="false" ht="15" hidden="false" customHeight="false" outlineLevel="0" collapsed="false">
      <c r="A6" s="13" t="s">
        <v>64</v>
      </c>
      <c r="B6" s="11" t="s">
        <v>62</v>
      </c>
      <c r="C6" s="13" t="s">
        <v>271</v>
      </c>
      <c r="D6" s="14" t="n">
        <v>1</v>
      </c>
      <c r="E6" s="13" t="s">
        <v>272</v>
      </c>
      <c r="F6" s="13" t="s">
        <v>273</v>
      </c>
      <c r="G6" s="13" t="s">
        <v>251</v>
      </c>
      <c r="H6" s="15" t="str">
        <f aca="false">"["&amp;G6&amp;"]"</f>
        <v>[POSTED]</v>
      </c>
      <c r="I6" s="13" t="s">
        <v>252</v>
      </c>
      <c r="J6" s="13" t="s">
        <v>253</v>
      </c>
      <c r="K6" s="13" t="s">
        <v>254</v>
      </c>
      <c r="L6" s="14" t="n">
        <v>1</v>
      </c>
      <c r="M6" s="16" t="n">
        <v>-4</v>
      </c>
      <c r="N6" s="17" t="n">
        <v>91.7875</v>
      </c>
      <c r="O6" s="18" t="n">
        <v>-367.15</v>
      </c>
      <c r="P6" s="17" t="n">
        <v>0.2</v>
      </c>
      <c r="Q6" s="13" t="s">
        <v>255</v>
      </c>
      <c r="R6" s="13" t="s">
        <v>256</v>
      </c>
      <c r="S6" s="13" t="s">
        <v>257</v>
      </c>
      <c r="T6" s="13" t="s">
        <v>258</v>
      </c>
      <c r="U6" s="13" t="s">
        <v>259</v>
      </c>
      <c r="V6" s="19" t="s">
        <v>52</v>
      </c>
      <c r="W6" s="19"/>
      <c r="X6" s="19" t="s">
        <v>52</v>
      </c>
      <c r="Y6" s="19"/>
    </row>
    <row r="7" customFormat="false" ht="15" hidden="false" customHeight="false" outlineLevel="0" collapsed="false">
      <c r="A7" s="13" t="s">
        <v>67</v>
      </c>
      <c r="B7" s="11" t="s">
        <v>65</v>
      </c>
      <c r="C7" s="13" t="s">
        <v>274</v>
      </c>
      <c r="D7" s="14" t="n">
        <v>1</v>
      </c>
      <c r="E7" s="13" t="s">
        <v>272</v>
      </c>
      <c r="F7" s="13" t="s">
        <v>273</v>
      </c>
      <c r="G7" s="13" t="s">
        <v>251</v>
      </c>
      <c r="H7" s="15" t="str">
        <f aca="false">"["&amp;G7&amp;"]"</f>
        <v>[POSTED]</v>
      </c>
      <c r="I7" s="13" t="s">
        <v>268</v>
      </c>
      <c r="J7" s="13" t="s">
        <v>269</v>
      </c>
      <c r="K7" s="13" t="s">
        <v>270</v>
      </c>
      <c r="L7" s="14" t="n">
        <v>1</v>
      </c>
      <c r="M7" s="16" t="n">
        <v>-1</v>
      </c>
      <c r="N7" s="17" t="n">
        <v>3</v>
      </c>
      <c r="O7" s="18" t="n">
        <v>-3</v>
      </c>
      <c r="P7" s="17" t="n">
        <v>0.055</v>
      </c>
      <c r="Q7" s="13" t="s">
        <v>255</v>
      </c>
      <c r="R7" s="13" t="s">
        <v>256</v>
      </c>
      <c r="S7" s="13" t="s">
        <v>257</v>
      </c>
      <c r="T7" s="13" t="s">
        <v>258</v>
      </c>
      <c r="U7" s="13" t="s">
        <v>259</v>
      </c>
      <c r="V7" s="19" t="s">
        <v>52</v>
      </c>
      <c r="W7" s="19"/>
      <c r="X7" s="19" t="s">
        <v>52</v>
      </c>
      <c r="Y7" s="19"/>
    </row>
    <row r="8" customFormat="false" ht="15" hidden="false" customHeight="false" outlineLevel="0" collapsed="false">
      <c r="A8" s="13" t="s">
        <v>70</v>
      </c>
      <c r="B8" s="11" t="s">
        <v>68</v>
      </c>
      <c r="C8" s="13" t="s">
        <v>275</v>
      </c>
      <c r="D8" s="14" t="n">
        <v>1</v>
      </c>
      <c r="E8" s="13" t="s">
        <v>249</v>
      </c>
      <c r="F8" s="13" t="s">
        <v>250</v>
      </c>
      <c r="G8" s="13" t="s">
        <v>276</v>
      </c>
      <c r="H8" s="15" t="str">
        <f aca="false">"["&amp;G8&amp;"]"</f>
        <v>[Posted ]</v>
      </c>
      <c r="I8" s="13" t="s">
        <v>277</v>
      </c>
      <c r="J8" s="13" t="s">
        <v>278</v>
      </c>
      <c r="K8" s="13" t="s">
        <v>279</v>
      </c>
      <c r="L8" s="14" t="n">
        <v>1</v>
      </c>
      <c r="M8" s="16" t="n">
        <v>6</v>
      </c>
      <c r="N8" s="17" t="n">
        <v>416.075</v>
      </c>
      <c r="O8" s="18" t="n">
        <v>2496.45</v>
      </c>
      <c r="P8" s="17" t="n">
        <v>0.19</v>
      </c>
      <c r="Q8" s="13" t="s">
        <v>255</v>
      </c>
      <c r="R8" s="13" t="s">
        <v>280</v>
      </c>
      <c r="S8" s="13" t="s">
        <v>257</v>
      </c>
      <c r="T8" s="13" t="s">
        <v>258</v>
      </c>
      <c r="U8" s="13" t="s">
        <v>259</v>
      </c>
      <c r="V8" s="19" t="s">
        <v>52</v>
      </c>
      <c r="W8" s="19"/>
      <c r="X8" s="19" t="s">
        <v>52</v>
      </c>
      <c r="Y8" s="19"/>
    </row>
    <row r="9" customFormat="false" ht="15" hidden="false" customHeight="false" outlineLevel="0" collapsed="false">
      <c r="A9" s="13" t="s">
        <v>73</v>
      </c>
      <c r="B9" s="11" t="s">
        <v>71</v>
      </c>
      <c r="C9" s="13" t="s">
        <v>281</v>
      </c>
      <c r="D9" s="14" t="n">
        <v>1</v>
      </c>
      <c r="E9" s="13" t="s">
        <v>249</v>
      </c>
      <c r="F9" s="13" t="s">
        <v>250</v>
      </c>
      <c r="G9" s="13" t="s">
        <v>282</v>
      </c>
      <c r="H9" s="15" t="str">
        <f aca="false">"["&amp;G9&amp;"]"</f>
        <v>[ posted]</v>
      </c>
      <c r="I9" s="13" t="s">
        <v>283</v>
      </c>
      <c r="J9" s="13" t="s">
        <v>284</v>
      </c>
      <c r="K9" s="13" t="s">
        <v>285</v>
      </c>
      <c r="L9" s="14" t="n">
        <v>1</v>
      </c>
      <c r="M9" s="16" t="n">
        <v>1</v>
      </c>
      <c r="N9" s="17" t="n">
        <v>0.5</v>
      </c>
      <c r="O9" s="18" t="n">
        <v>0.5</v>
      </c>
      <c r="P9" s="17" t="n">
        <v>0.21</v>
      </c>
      <c r="Q9" s="13" t="s">
        <v>255</v>
      </c>
      <c r="R9" s="13" t="s">
        <v>286</v>
      </c>
      <c r="S9" s="13" t="s">
        <v>257</v>
      </c>
      <c r="T9" s="13" t="s">
        <v>258</v>
      </c>
      <c r="U9" s="13" t="s">
        <v>259</v>
      </c>
      <c r="V9" s="19" t="s">
        <v>52</v>
      </c>
      <c r="W9" s="19"/>
      <c r="X9" s="19" t="s">
        <v>52</v>
      </c>
      <c r="Y9" s="19"/>
    </row>
    <row r="10" customFormat="false" ht="15" hidden="false" customHeight="false" outlineLevel="0" collapsed="false">
      <c r="A10" s="13" t="s">
        <v>77</v>
      </c>
      <c r="B10" s="11" t="s">
        <v>74</v>
      </c>
      <c r="C10" s="13" t="s">
        <v>287</v>
      </c>
      <c r="D10" s="14" t="n">
        <v>1</v>
      </c>
      <c r="E10" s="13" t="s">
        <v>249</v>
      </c>
      <c r="F10" s="13" t="s">
        <v>250</v>
      </c>
      <c r="G10" s="13" t="s">
        <v>288</v>
      </c>
      <c r="H10" s="15" t="str">
        <f aca="false">"["&amp;G10&amp;"]"</f>
        <v>[DRAFT]</v>
      </c>
      <c r="I10" s="13" t="s">
        <v>252</v>
      </c>
      <c r="J10" s="13" t="s">
        <v>253</v>
      </c>
      <c r="K10" s="13" t="s">
        <v>289</v>
      </c>
      <c r="L10" s="14" t="n">
        <v>1</v>
      </c>
      <c r="M10" s="16" t="n">
        <v>4</v>
      </c>
      <c r="N10" s="17" t="n">
        <v>91.7875</v>
      </c>
      <c r="O10" s="18" t="n">
        <v>367.15</v>
      </c>
      <c r="P10" s="17" t="n">
        <v>0.2</v>
      </c>
      <c r="Q10" s="13" t="s">
        <v>255</v>
      </c>
      <c r="R10" s="13" t="s">
        <v>256</v>
      </c>
      <c r="S10" s="13" t="s">
        <v>257</v>
      </c>
      <c r="T10" s="13" t="s">
        <v>258</v>
      </c>
      <c r="U10" s="13" t="s">
        <v>259</v>
      </c>
      <c r="V10" s="19" t="s">
        <v>290</v>
      </c>
      <c r="W10" s="19" t="s">
        <v>291</v>
      </c>
      <c r="X10" s="19" t="s">
        <v>290</v>
      </c>
      <c r="Y10" s="19" t="s">
        <v>291</v>
      </c>
    </row>
    <row r="11" customFormat="false" ht="15" hidden="false" customHeight="false" outlineLevel="0" collapsed="false">
      <c r="A11" s="13" t="s">
        <v>81</v>
      </c>
      <c r="B11" s="11" t="s">
        <v>79</v>
      </c>
      <c r="C11" s="13" t="s">
        <v>292</v>
      </c>
      <c r="D11" s="14" t="n">
        <v>1</v>
      </c>
      <c r="E11" s="13" t="s">
        <v>249</v>
      </c>
      <c r="F11" s="13" t="s">
        <v>250</v>
      </c>
      <c r="G11" s="13" t="s">
        <v>293</v>
      </c>
      <c r="H11" s="15" t="str">
        <f aca="false">"["&amp;G11&amp;"]"</f>
        <v>[Cancelled]</v>
      </c>
      <c r="I11" s="13" t="s">
        <v>277</v>
      </c>
      <c r="J11" s="13" t="s">
        <v>278</v>
      </c>
      <c r="K11" s="13" t="s">
        <v>289</v>
      </c>
      <c r="L11" s="14" t="n">
        <v>2</v>
      </c>
      <c r="M11" s="16" t="n">
        <v>2</v>
      </c>
      <c r="N11" s="17" t="n">
        <v>416.075</v>
      </c>
      <c r="O11" s="18" t="n">
        <v>832.15</v>
      </c>
      <c r="P11" s="17" t="n">
        <v>0.19</v>
      </c>
      <c r="Q11" s="13" t="s">
        <v>255</v>
      </c>
      <c r="R11" s="13" t="s">
        <v>280</v>
      </c>
      <c r="S11" s="13" t="s">
        <v>257</v>
      </c>
      <c r="T11" s="13" t="s">
        <v>258</v>
      </c>
      <c r="U11" s="13" t="s">
        <v>259</v>
      </c>
      <c r="V11" s="19" t="s">
        <v>290</v>
      </c>
      <c r="W11" s="19" t="s">
        <v>291</v>
      </c>
      <c r="X11" s="19" t="s">
        <v>290</v>
      </c>
      <c r="Y11" s="19" t="s">
        <v>291</v>
      </c>
    </row>
    <row r="12" customFormat="false" ht="15" hidden="false" customHeight="false" outlineLevel="0" collapsed="false">
      <c r="A12" s="13" t="s">
        <v>84</v>
      </c>
      <c r="B12" s="11" t="s">
        <v>82</v>
      </c>
      <c r="C12" s="13" t="s">
        <v>294</v>
      </c>
      <c r="D12" s="14" t="n">
        <v>1</v>
      </c>
      <c r="E12" s="13" t="s">
        <v>249</v>
      </c>
      <c r="F12" s="13" t="s">
        <v>250</v>
      </c>
      <c r="G12" s="13" t="s">
        <v>295</v>
      </c>
      <c r="H12" s="15" t="str">
        <f aca="false">"["&amp;G12&amp;"]"</f>
        <v>[PENDING]</v>
      </c>
      <c r="I12" s="13" t="s">
        <v>283</v>
      </c>
      <c r="J12" s="13" t="s">
        <v>253</v>
      </c>
      <c r="K12" s="13" t="s">
        <v>289</v>
      </c>
      <c r="L12" s="14" t="n">
        <v>3</v>
      </c>
      <c r="M12" s="16" t="n">
        <v>4</v>
      </c>
      <c r="N12" s="17" t="n">
        <v>96.508</v>
      </c>
      <c r="O12" s="18" t="n">
        <v>386.03</v>
      </c>
      <c r="P12" s="17" t="n">
        <v>0.21</v>
      </c>
      <c r="Q12" s="13" t="s">
        <v>255</v>
      </c>
      <c r="R12" s="13" t="s">
        <v>286</v>
      </c>
      <c r="S12" s="13" t="s">
        <v>257</v>
      </c>
      <c r="T12" s="13" t="s">
        <v>258</v>
      </c>
      <c r="U12" s="13" t="s">
        <v>259</v>
      </c>
      <c r="V12" s="19" t="s">
        <v>296</v>
      </c>
      <c r="W12" s="19" t="s">
        <v>297</v>
      </c>
      <c r="X12" s="19" t="s">
        <v>296</v>
      </c>
      <c r="Y12" s="19" t="s">
        <v>297</v>
      </c>
    </row>
    <row r="13" customFormat="false" ht="15" hidden="false" customHeight="false" outlineLevel="0" collapsed="false">
      <c r="A13" s="13" t="s">
        <v>89</v>
      </c>
      <c r="B13" s="11" t="s">
        <v>86</v>
      </c>
      <c r="C13" s="13" t="s">
        <v>298</v>
      </c>
      <c r="D13" s="14" t="n">
        <v>1</v>
      </c>
      <c r="E13" s="13" t="s">
        <v>249</v>
      </c>
      <c r="F13" s="13" t="s">
        <v>250</v>
      </c>
      <c r="G13" s="13" t="s">
        <v>251</v>
      </c>
      <c r="H13" s="15" t="str">
        <f aca="false">"["&amp;G13&amp;"]"</f>
        <v>[POSTED]</v>
      </c>
      <c r="I13" s="13"/>
      <c r="J13" s="13" t="s">
        <v>253</v>
      </c>
      <c r="K13" s="13" t="s">
        <v>299</v>
      </c>
      <c r="L13" s="14" t="n">
        <v>1</v>
      </c>
      <c r="M13" s="16" t="n">
        <v>4</v>
      </c>
      <c r="N13" s="17" t="n">
        <v>91.7875</v>
      </c>
      <c r="O13" s="18" t="n">
        <v>367.15</v>
      </c>
      <c r="P13" s="17" t="n">
        <v>0.2</v>
      </c>
      <c r="Q13" s="13" t="s">
        <v>255</v>
      </c>
      <c r="R13" s="13" t="s">
        <v>256</v>
      </c>
      <c r="S13" s="13" t="s">
        <v>257</v>
      </c>
      <c r="T13" s="13" t="s">
        <v>258</v>
      </c>
      <c r="U13" s="13" t="s">
        <v>259</v>
      </c>
      <c r="V13" s="19" t="s">
        <v>296</v>
      </c>
      <c r="W13" s="19" t="s">
        <v>300</v>
      </c>
      <c r="X13" s="19" t="s">
        <v>296</v>
      </c>
      <c r="Y13" s="19" t="s">
        <v>300</v>
      </c>
    </row>
    <row r="14" customFormat="false" ht="15" hidden="false" customHeight="false" outlineLevel="0" collapsed="false">
      <c r="A14" s="13" t="s">
        <v>93</v>
      </c>
      <c r="B14" s="11" t="s">
        <v>91</v>
      </c>
      <c r="C14" s="13" t="s">
        <v>301</v>
      </c>
      <c r="D14" s="14" t="n">
        <v>1</v>
      </c>
      <c r="E14" s="13" t="s">
        <v>249</v>
      </c>
      <c r="F14" s="13" t="s">
        <v>250</v>
      </c>
      <c r="G14" s="13" t="s">
        <v>302</v>
      </c>
      <c r="H14" s="15" t="str">
        <f aca="false">"["&amp;G14&amp;"]"</f>
        <v>[   ]</v>
      </c>
      <c r="I14" s="13" t="s">
        <v>252</v>
      </c>
      <c r="J14" s="13" t="s">
        <v>253</v>
      </c>
      <c r="K14" s="13" t="s">
        <v>299</v>
      </c>
      <c r="L14" s="14" t="n">
        <v>2</v>
      </c>
      <c r="M14" s="16" t="n">
        <v>2</v>
      </c>
      <c r="N14" s="17" t="n">
        <v>91.7875</v>
      </c>
      <c r="O14" s="18" t="n">
        <v>183.58</v>
      </c>
      <c r="P14" s="17" t="n">
        <v>0.2</v>
      </c>
      <c r="Q14" s="13" t="s">
        <v>255</v>
      </c>
      <c r="R14" s="13" t="s">
        <v>256</v>
      </c>
      <c r="S14" s="13" t="s">
        <v>257</v>
      </c>
      <c r="T14" s="13" t="s">
        <v>258</v>
      </c>
      <c r="U14" s="13" t="s">
        <v>259</v>
      </c>
      <c r="V14" s="19" t="s">
        <v>296</v>
      </c>
      <c r="W14" s="19" t="s">
        <v>300</v>
      </c>
      <c r="X14" s="19" t="s">
        <v>296</v>
      </c>
      <c r="Y14" s="19" t="s">
        <v>300</v>
      </c>
    </row>
    <row r="15" customFormat="false" ht="15" hidden="false" customHeight="false" outlineLevel="0" collapsed="false">
      <c r="A15" s="13" t="s">
        <v>96</v>
      </c>
      <c r="B15" s="11" t="s">
        <v>94</v>
      </c>
      <c r="C15" s="13" t="s">
        <v>303</v>
      </c>
      <c r="D15" s="14" t="n">
        <v>1</v>
      </c>
      <c r="E15" s="13" t="s">
        <v>249</v>
      </c>
      <c r="F15" s="13" t="s">
        <v>250</v>
      </c>
      <c r="G15" s="13" t="s">
        <v>251</v>
      </c>
      <c r="H15" s="15" t="str">
        <f aca="false">"["&amp;G15&amp;"]"</f>
        <v>[POSTED]</v>
      </c>
      <c r="I15" s="13" t="s">
        <v>277</v>
      </c>
      <c r="J15" s="13" t="s">
        <v>278</v>
      </c>
      <c r="K15" s="13" t="s">
        <v>299</v>
      </c>
      <c r="L15" s="14" t="n">
        <v>3</v>
      </c>
      <c r="M15" s="16" t="n">
        <v>2</v>
      </c>
      <c r="N15" s="17" t="n">
        <v>416.075</v>
      </c>
      <c r="O15" s="18"/>
      <c r="P15" s="17" t="n">
        <v>0.19</v>
      </c>
      <c r="Q15" s="13" t="s">
        <v>255</v>
      </c>
      <c r="R15" s="13" t="s">
        <v>280</v>
      </c>
      <c r="S15" s="13" t="s">
        <v>257</v>
      </c>
      <c r="T15" s="13" t="s">
        <v>258</v>
      </c>
      <c r="U15" s="13" t="s">
        <v>259</v>
      </c>
      <c r="V15" s="19" t="s">
        <v>296</v>
      </c>
      <c r="W15" s="19" t="s">
        <v>300</v>
      </c>
      <c r="X15" s="19" t="s">
        <v>296</v>
      </c>
      <c r="Y15" s="19" t="s">
        <v>300</v>
      </c>
    </row>
    <row r="16" customFormat="false" ht="15" hidden="false" customHeight="false" outlineLevel="0" collapsed="false">
      <c r="A16" s="13" t="s">
        <v>99</v>
      </c>
      <c r="B16" s="11" t="s">
        <v>97</v>
      </c>
      <c r="C16" s="13" t="s">
        <v>304</v>
      </c>
      <c r="D16" s="14"/>
      <c r="E16" s="13" t="s">
        <v>249</v>
      </c>
      <c r="F16" s="13" t="s">
        <v>250</v>
      </c>
      <c r="G16" s="13" t="s">
        <v>251</v>
      </c>
      <c r="H16" s="15" t="str">
        <f aca="false">"["&amp;G16&amp;"]"</f>
        <v>[POSTED]</v>
      </c>
      <c r="I16" s="13" t="s">
        <v>283</v>
      </c>
      <c r="J16" s="13" t="s">
        <v>284</v>
      </c>
      <c r="K16" s="13" t="s">
        <v>305</v>
      </c>
      <c r="L16" s="14" t="n">
        <v>1</v>
      </c>
      <c r="M16" s="16" t="n">
        <v>10</v>
      </c>
      <c r="N16" s="17" t="n">
        <v>0.465</v>
      </c>
      <c r="O16" s="18" t="n">
        <v>4.65</v>
      </c>
      <c r="P16" s="17" t="n">
        <v>0.21</v>
      </c>
      <c r="Q16" s="13" t="s">
        <v>255</v>
      </c>
      <c r="R16" s="13" t="s">
        <v>286</v>
      </c>
      <c r="S16" s="13" t="s">
        <v>257</v>
      </c>
      <c r="T16" s="13" t="s">
        <v>258</v>
      </c>
      <c r="U16" s="13" t="s">
        <v>259</v>
      </c>
      <c r="V16" s="19" t="s">
        <v>296</v>
      </c>
      <c r="W16" s="19" t="s">
        <v>300</v>
      </c>
      <c r="X16" s="19" t="s">
        <v>296</v>
      </c>
      <c r="Y16" s="19" t="s">
        <v>300</v>
      </c>
    </row>
    <row r="17" customFormat="false" ht="15" hidden="false" customHeight="false" outlineLevel="0" collapsed="false">
      <c r="A17" s="13" t="s">
        <v>102</v>
      </c>
      <c r="B17" s="11" t="s">
        <v>100</v>
      </c>
      <c r="C17" s="13" t="s">
        <v>306</v>
      </c>
      <c r="D17" s="14" t="n">
        <v>1</v>
      </c>
      <c r="E17" s="13" t="s">
        <v>249</v>
      </c>
      <c r="F17" s="13" t="s">
        <v>250</v>
      </c>
      <c r="G17" s="13" t="s">
        <v>288</v>
      </c>
      <c r="H17" s="15" t="str">
        <f aca="false">"["&amp;G17&amp;"]"</f>
        <v>[DRAFT]</v>
      </c>
      <c r="I17" s="13" t="s">
        <v>252</v>
      </c>
      <c r="J17" s="13"/>
      <c r="K17" s="13" t="s">
        <v>305</v>
      </c>
      <c r="L17" s="14" t="n">
        <v>2</v>
      </c>
      <c r="M17" s="16" t="n">
        <v>4</v>
      </c>
      <c r="N17" s="17" t="n">
        <v>91.7875</v>
      </c>
      <c r="O17" s="18" t="n">
        <v>367.15</v>
      </c>
      <c r="P17" s="17" t="n">
        <v>0.2</v>
      </c>
      <c r="Q17" s="13" t="s">
        <v>255</v>
      </c>
      <c r="R17" s="13" t="s">
        <v>256</v>
      </c>
      <c r="S17" s="13" t="s">
        <v>257</v>
      </c>
      <c r="T17" s="13" t="s">
        <v>258</v>
      </c>
      <c r="U17" s="13" t="s">
        <v>259</v>
      </c>
      <c r="V17" s="19" t="s">
        <v>296</v>
      </c>
      <c r="W17" s="19" t="s">
        <v>300</v>
      </c>
      <c r="X17" s="19" t="s">
        <v>296</v>
      </c>
      <c r="Y17" s="19" t="s">
        <v>300</v>
      </c>
    </row>
    <row r="18" customFormat="false" ht="15" hidden="false" customHeight="false" outlineLevel="0" collapsed="false">
      <c r="A18" s="13" t="s">
        <v>307</v>
      </c>
      <c r="B18" s="11" t="s">
        <v>103</v>
      </c>
      <c r="C18" s="13" t="s">
        <v>308</v>
      </c>
      <c r="D18" s="14" t="n">
        <v>1</v>
      </c>
      <c r="E18" s="13" t="s">
        <v>249</v>
      </c>
      <c r="F18" s="13" t="s">
        <v>250</v>
      </c>
      <c r="G18" s="13" t="s">
        <v>251</v>
      </c>
      <c r="H18" s="15" t="str">
        <f aca="false">"["&amp;G18&amp;"]"</f>
        <v>[POSTED]</v>
      </c>
      <c r="I18" s="13" t="s">
        <v>283</v>
      </c>
      <c r="J18" s="13" t="s">
        <v>253</v>
      </c>
      <c r="K18" s="13" t="s">
        <v>309</v>
      </c>
      <c r="L18" s="14" t="n">
        <v>1</v>
      </c>
      <c r="M18" s="16" t="n">
        <v>2</v>
      </c>
      <c r="N18" s="17" t="n">
        <v>96.508</v>
      </c>
      <c r="O18" s="18" t="n">
        <v>193.02</v>
      </c>
      <c r="P18" s="17" t="n">
        <v>0.21</v>
      </c>
      <c r="Q18" s="13" t="s">
        <v>255</v>
      </c>
      <c r="R18" s="13" t="s">
        <v>286</v>
      </c>
      <c r="S18" s="13" t="s">
        <v>257</v>
      </c>
      <c r="T18" s="13" t="s">
        <v>258</v>
      </c>
      <c r="U18" s="13" t="s">
        <v>259</v>
      </c>
      <c r="V18" s="19" t="s">
        <v>52</v>
      </c>
      <c r="W18" s="19"/>
      <c r="X18" s="19" t="s">
        <v>52</v>
      </c>
      <c r="Y18" s="19"/>
    </row>
    <row r="19" customFormat="false" ht="15" hidden="false" customHeight="false" outlineLevel="0" collapsed="false">
      <c r="A19" s="13" t="s">
        <v>310</v>
      </c>
      <c r="B19" s="11" t="s">
        <v>108</v>
      </c>
      <c r="C19" s="13" t="s">
        <v>311</v>
      </c>
      <c r="D19" s="14" t="n">
        <v>1</v>
      </c>
      <c r="E19" s="13" t="s">
        <v>249</v>
      </c>
      <c r="F19" s="13" t="s">
        <v>250</v>
      </c>
      <c r="G19" s="13" t="s">
        <v>251</v>
      </c>
      <c r="H19" s="15" t="str">
        <f aca="false">"["&amp;G19&amp;"]"</f>
        <v>[POSTED]</v>
      </c>
      <c r="I19" s="13" t="s">
        <v>277</v>
      </c>
      <c r="J19" s="13" t="s">
        <v>284</v>
      </c>
      <c r="K19" s="13" t="s">
        <v>309</v>
      </c>
      <c r="L19" s="14" t="n">
        <v>2</v>
      </c>
      <c r="M19" s="16" t="n">
        <v>20</v>
      </c>
      <c r="N19" s="17" t="n">
        <v>0.465</v>
      </c>
      <c r="O19" s="18" t="n">
        <v>9.3</v>
      </c>
      <c r="P19" s="17" t="n">
        <v>0.19</v>
      </c>
      <c r="Q19" s="13" t="s">
        <v>255</v>
      </c>
      <c r="R19" s="13" t="s">
        <v>280</v>
      </c>
      <c r="S19" s="13" t="s">
        <v>257</v>
      </c>
      <c r="T19" s="13" t="s">
        <v>258</v>
      </c>
      <c r="U19" s="13" t="s">
        <v>259</v>
      </c>
      <c r="V19" s="19" t="s">
        <v>52</v>
      </c>
      <c r="W19" s="19"/>
      <c r="X19" s="19" t="s">
        <v>52</v>
      </c>
      <c r="Y19" s="19"/>
    </row>
    <row r="20" customFormat="false" ht="15" hidden="false" customHeight="false" outlineLevel="0" collapsed="false">
      <c r="A20" s="13" t="s">
        <v>312</v>
      </c>
      <c r="B20" s="11" t="s">
        <v>112</v>
      </c>
      <c r="C20" s="13" t="s">
        <v>313</v>
      </c>
      <c r="D20" s="14" t="n">
        <v>1</v>
      </c>
      <c r="E20" s="13" t="s">
        <v>249</v>
      </c>
      <c r="F20" s="13" t="s">
        <v>250</v>
      </c>
      <c r="G20" s="13" t="s">
        <v>251</v>
      </c>
      <c r="H20" s="15" t="str">
        <f aca="false">"["&amp;G20&amp;"]"</f>
        <v>[POSTED]</v>
      </c>
      <c r="I20" s="13" t="s">
        <v>252</v>
      </c>
      <c r="J20" s="13" t="s">
        <v>253</v>
      </c>
      <c r="K20" s="13" t="s">
        <v>314</v>
      </c>
      <c r="L20" s="14" t="n">
        <v>1</v>
      </c>
      <c r="M20" s="16" t="n">
        <v>4</v>
      </c>
      <c r="N20" s="17" t="n">
        <v>91.7875</v>
      </c>
      <c r="O20" s="18" t="n">
        <v>367.15</v>
      </c>
      <c r="P20" s="17" t="n">
        <v>0.2</v>
      </c>
      <c r="Q20" s="13" t="s">
        <v>255</v>
      </c>
      <c r="R20" s="13" t="s">
        <v>256</v>
      </c>
      <c r="S20" s="13" t="s">
        <v>257</v>
      </c>
      <c r="T20" s="13" t="s">
        <v>258</v>
      </c>
      <c r="U20" s="13" t="s">
        <v>259</v>
      </c>
      <c r="V20" s="19" t="s">
        <v>296</v>
      </c>
      <c r="W20" s="19" t="s">
        <v>315</v>
      </c>
      <c r="X20" s="19" t="s">
        <v>296</v>
      </c>
      <c r="Y20" s="19" t="s">
        <v>315</v>
      </c>
    </row>
    <row r="21" customFormat="false" ht="15" hidden="false" customHeight="false" outlineLevel="0" collapsed="false">
      <c r="A21" s="13" t="s">
        <v>316</v>
      </c>
      <c r="B21" s="11" t="s">
        <v>116</v>
      </c>
      <c r="C21" s="13" t="s">
        <v>317</v>
      </c>
      <c r="D21" s="14" t="n">
        <v>1</v>
      </c>
      <c r="E21" s="13" t="s">
        <v>249</v>
      </c>
      <c r="F21" s="13" t="s">
        <v>250</v>
      </c>
      <c r="G21" s="13" t="s">
        <v>251</v>
      </c>
      <c r="H21" s="15" t="str">
        <f aca="false">"["&amp;G21&amp;"]"</f>
        <v>[POSTED]</v>
      </c>
      <c r="I21" s="13" t="s">
        <v>268</v>
      </c>
      <c r="J21" s="13" t="s">
        <v>278</v>
      </c>
      <c r="K21" s="13" t="s">
        <v>314</v>
      </c>
      <c r="L21" s="14" t="n">
        <v>2</v>
      </c>
      <c r="M21" s="16" t="n">
        <v>2</v>
      </c>
      <c r="N21" s="17" t="n">
        <v>430.76</v>
      </c>
      <c r="O21" s="18" t="n">
        <v>861.52</v>
      </c>
      <c r="P21" s="17" t="n">
        <v>0.2</v>
      </c>
      <c r="Q21" s="13" t="s">
        <v>255</v>
      </c>
      <c r="R21" s="13" t="s">
        <v>256</v>
      </c>
      <c r="S21" s="13" t="s">
        <v>257</v>
      </c>
      <c r="T21" s="13" t="s">
        <v>258</v>
      </c>
      <c r="U21" s="13" t="s">
        <v>259</v>
      </c>
      <c r="V21" s="19" t="s">
        <v>296</v>
      </c>
      <c r="W21" s="19" t="s">
        <v>315</v>
      </c>
      <c r="X21" s="19" t="s">
        <v>296</v>
      </c>
      <c r="Y21" s="19" t="s">
        <v>315</v>
      </c>
    </row>
    <row r="22" customFormat="false" ht="15" hidden="false" customHeight="false" outlineLevel="0" collapsed="false">
      <c r="A22" s="13" t="s">
        <v>318</v>
      </c>
      <c r="B22" s="11" t="s">
        <v>120</v>
      </c>
      <c r="C22" s="13" t="s">
        <v>319</v>
      </c>
      <c r="D22" s="14" t="n">
        <v>1</v>
      </c>
      <c r="E22" s="13" t="s">
        <v>249</v>
      </c>
      <c r="F22" s="13" t="s">
        <v>250</v>
      </c>
      <c r="G22" s="13" t="s">
        <v>288</v>
      </c>
      <c r="H22" s="15" t="str">
        <f aca="false">"["&amp;G22&amp;"]"</f>
        <v>[DRAFT]</v>
      </c>
      <c r="I22" s="13" t="s">
        <v>252</v>
      </c>
      <c r="J22" s="13" t="s">
        <v>278</v>
      </c>
      <c r="K22" s="13" t="s">
        <v>320</v>
      </c>
      <c r="L22" s="14" t="n">
        <v>1</v>
      </c>
      <c r="M22" s="16" t="n">
        <v>2</v>
      </c>
      <c r="N22" s="17" t="n">
        <v>430.76</v>
      </c>
      <c r="O22" s="18" t="n">
        <v>861.52</v>
      </c>
      <c r="P22" s="17" t="n">
        <v>0.2</v>
      </c>
      <c r="Q22" s="13" t="s">
        <v>255</v>
      </c>
      <c r="R22" s="13" t="s">
        <v>256</v>
      </c>
      <c r="S22" s="13" t="s">
        <v>257</v>
      </c>
      <c r="T22" s="13" t="s">
        <v>258</v>
      </c>
      <c r="U22" s="13" t="s">
        <v>259</v>
      </c>
      <c r="V22" s="19" t="s">
        <v>290</v>
      </c>
      <c r="W22" s="19" t="s">
        <v>291</v>
      </c>
      <c r="X22" s="19" t="s">
        <v>290</v>
      </c>
      <c r="Y22" s="19" t="s">
        <v>291</v>
      </c>
    </row>
    <row r="23" customFormat="false" ht="15" hidden="false" customHeight="false" outlineLevel="0" collapsed="false">
      <c r="A23" s="13" t="s">
        <v>321</v>
      </c>
      <c r="B23" s="11" t="s">
        <v>124</v>
      </c>
      <c r="C23" s="13" t="s">
        <v>322</v>
      </c>
      <c r="D23" s="14" t="n">
        <v>1</v>
      </c>
      <c r="E23" s="13" t="s">
        <v>249</v>
      </c>
      <c r="F23" s="13" t="s">
        <v>250</v>
      </c>
      <c r="G23" s="13" t="s">
        <v>251</v>
      </c>
      <c r="H23" s="15" t="str">
        <f aca="false">"["&amp;G23&amp;"]"</f>
        <v>[POSTED]</v>
      </c>
      <c r="I23" s="13" t="s">
        <v>323</v>
      </c>
      <c r="J23" s="13" t="s">
        <v>253</v>
      </c>
      <c r="K23" s="13" t="s">
        <v>320</v>
      </c>
      <c r="L23" s="14" t="n">
        <v>2</v>
      </c>
      <c r="M23" s="16" t="n">
        <v>4</v>
      </c>
      <c r="N23" s="17" t="n">
        <v>91.7875</v>
      </c>
      <c r="O23" s="18" t="n">
        <v>367.15</v>
      </c>
      <c r="P23" s="17" t="n">
        <v>0.2</v>
      </c>
      <c r="Q23" s="13" t="s">
        <v>255</v>
      </c>
      <c r="R23" s="13" t="s">
        <v>256</v>
      </c>
      <c r="S23" s="13" t="s">
        <v>257</v>
      </c>
      <c r="T23" s="13" t="s">
        <v>258</v>
      </c>
      <c r="U23" s="13" t="s">
        <v>259</v>
      </c>
      <c r="V23" s="19" t="s">
        <v>296</v>
      </c>
      <c r="W23" s="19" t="s">
        <v>324</v>
      </c>
      <c r="X23" s="19" t="s">
        <v>296</v>
      </c>
      <c r="Y23" s="19" t="s">
        <v>324</v>
      </c>
    </row>
    <row r="24" customFormat="false" ht="15" hidden="false" customHeight="false" outlineLevel="0" collapsed="false">
      <c r="A24" s="13" t="s">
        <v>132</v>
      </c>
      <c r="B24" s="11" t="s">
        <v>129</v>
      </c>
      <c r="C24" s="13" t="s">
        <v>325</v>
      </c>
      <c r="D24" s="14" t="n">
        <v>1</v>
      </c>
      <c r="E24" s="13" t="s">
        <v>326</v>
      </c>
      <c r="F24" s="13" t="s">
        <v>250</v>
      </c>
      <c r="G24" s="13" t="s">
        <v>251</v>
      </c>
      <c r="H24" s="15" t="str">
        <f aca="false">"["&amp;G24&amp;"]"</f>
        <v>[POSTED]</v>
      </c>
      <c r="I24" s="13" t="s">
        <v>252</v>
      </c>
      <c r="J24" s="13" t="s">
        <v>253</v>
      </c>
      <c r="K24" s="13" t="s">
        <v>327</v>
      </c>
      <c r="L24" s="14" t="n">
        <v>1</v>
      </c>
      <c r="M24" s="16" t="n">
        <v>4</v>
      </c>
      <c r="N24" s="17" t="n">
        <v>91.7875</v>
      </c>
      <c r="O24" s="18" t="n">
        <v>367.15</v>
      </c>
      <c r="P24" s="17" t="n">
        <v>0.2</v>
      </c>
      <c r="Q24" s="13" t="s">
        <v>255</v>
      </c>
      <c r="R24" s="13" t="s">
        <v>256</v>
      </c>
      <c r="S24" s="13" t="s">
        <v>257</v>
      </c>
      <c r="T24" s="13" t="s">
        <v>258</v>
      </c>
      <c r="U24" s="13" t="s">
        <v>259</v>
      </c>
      <c r="V24" s="19" t="s">
        <v>296</v>
      </c>
      <c r="W24" s="19" t="s">
        <v>328</v>
      </c>
      <c r="X24" s="19" t="s">
        <v>296</v>
      </c>
      <c r="Y24" s="19" t="s">
        <v>328</v>
      </c>
    </row>
    <row r="25" customFormat="false" ht="15" hidden="false" customHeight="false" outlineLevel="0" collapsed="false">
      <c r="A25" s="13" t="s">
        <v>136</v>
      </c>
      <c r="B25" s="11" t="s">
        <v>134</v>
      </c>
      <c r="C25" s="13" t="s">
        <v>329</v>
      </c>
      <c r="D25" s="14" t="n">
        <v>1</v>
      </c>
      <c r="E25" s="13" t="s">
        <v>330</v>
      </c>
      <c r="F25" s="13" t="s">
        <v>250</v>
      </c>
      <c r="G25" s="13" t="s">
        <v>251</v>
      </c>
      <c r="H25" s="15" t="str">
        <f aca="false">"["&amp;G25&amp;"]"</f>
        <v>[POSTED]</v>
      </c>
      <c r="I25" s="13" t="s">
        <v>277</v>
      </c>
      <c r="J25" s="13" t="s">
        <v>278</v>
      </c>
      <c r="K25" s="13" t="s">
        <v>327</v>
      </c>
      <c r="L25" s="14" t="n">
        <v>2</v>
      </c>
      <c r="M25" s="16" t="n">
        <v>2</v>
      </c>
      <c r="N25" s="17" t="n">
        <v>416.075</v>
      </c>
      <c r="O25" s="18" t="n">
        <v>832.15</v>
      </c>
      <c r="P25" s="17" t="n">
        <v>0.19</v>
      </c>
      <c r="Q25" s="13" t="s">
        <v>255</v>
      </c>
      <c r="R25" s="13" t="s">
        <v>280</v>
      </c>
      <c r="S25" s="13" t="s">
        <v>257</v>
      </c>
      <c r="T25" s="13" t="s">
        <v>258</v>
      </c>
      <c r="U25" s="13" t="s">
        <v>259</v>
      </c>
      <c r="V25" s="19" t="s">
        <v>296</v>
      </c>
      <c r="W25" s="19" t="s">
        <v>328</v>
      </c>
      <c r="X25" s="19" t="s">
        <v>296</v>
      </c>
      <c r="Y25" s="19" t="s">
        <v>328</v>
      </c>
    </row>
    <row r="26" customFormat="false" ht="15" hidden="false" customHeight="false" outlineLevel="0" collapsed="false">
      <c r="A26" s="13" t="s">
        <v>139</v>
      </c>
      <c r="B26" s="11" t="s">
        <v>137</v>
      </c>
      <c r="C26" s="13" t="s">
        <v>331</v>
      </c>
      <c r="D26" s="14" t="n">
        <v>1</v>
      </c>
      <c r="E26" s="13" t="s">
        <v>332</v>
      </c>
      <c r="F26" s="13" t="s">
        <v>250</v>
      </c>
      <c r="G26" s="13" t="s">
        <v>251</v>
      </c>
      <c r="H26" s="15" t="str">
        <f aca="false">"["&amp;G26&amp;"]"</f>
        <v>[POSTED]</v>
      </c>
      <c r="I26" s="13" t="s">
        <v>283</v>
      </c>
      <c r="J26" s="13" t="s">
        <v>253</v>
      </c>
      <c r="K26" s="13" t="s">
        <v>327</v>
      </c>
      <c r="L26" s="14" t="n">
        <v>3</v>
      </c>
      <c r="M26" s="16" t="n">
        <v>4</v>
      </c>
      <c r="N26" s="17" t="n">
        <v>96.508</v>
      </c>
      <c r="O26" s="18" t="n">
        <v>386.03</v>
      </c>
      <c r="P26" s="17" t="n">
        <v>0.21</v>
      </c>
      <c r="Q26" s="13" t="s">
        <v>255</v>
      </c>
      <c r="R26" s="13" t="s">
        <v>286</v>
      </c>
      <c r="S26" s="13" t="s">
        <v>257</v>
      </c>
      <c r="T26" s="13" t="s">
        <v>258</v>
      </c>
      <c r="U26" s="13" t="s">
        <v>259</v>
      </c>
      <c r="V26" s="19" t="s">
        <v>296</v>
      </c>
      <c r="W26" s="19" t="s">
        <v>328</v>
      </c>
      <c r="X26" s="19" t="s">
        <v>296</v>
      </c>
      <c r="Y26" s="19" t="s">
        <v>328</v>
      </c>
    </row>
    <row r="27" customFormat="false" ht="15" hidden="false" customHeight="false" outlineLevel="0" collapsed="false">
      <c r="A27" s="13" t="s">
        <v>143</v>
      </c>
      <c r="B27" s="11" t="s">
        <v>140</v>
      </c>
      <c r="C27" s="13" t="s">
        <v>333</v>
      </c>
      <c r="D27" s="14" t="n">
        <v>1</v>
      </c>
      <c r="E27" s="13" t="s">
        <v>249</v>
      </c>
      <c r="F27" s="13" t="s">
        <v>250</v>
      </c>
      <c r="G27" s="13" t="s">
        <v>251</v>
      </c>
      <c r="H27" s="15" t="str">
        <f aca="false">"["&amp;G27&amp;"]"</f>
        <v>[POSTED]</v>
      </c>
      <c r="I27" s="13" t="s">
        <v>323</v>
      </c>
      <c r="J27" s="13" t="s">
        <v>278</v>
      </c>
      <c r="K27" s="13" t="s">
        <v>334</v>
      </c>
      <c r="L27" s="14" t="n">
        <v>1</v>
      </c>
      <c r="M27" s="16" t="n">
        <v>2</v>
      </c>
      <c r="N27" s="17" t="n">
        <v>430.76</v>
      </c>
      <c r="O27" s="18" t="n">
        <v>861.52</v>
      </c>
      <c r="P27" s="17" t="n">
        <v>0.2</v>
      </c>
      <c r="Q27" s="13" t="s">
        <v>255</v>
      </c>
      <c r="R27" s="13" t="s">
        <v>256</v>
      </c>
      <c r="S27" s="13" t="s">
        <v>257</v>
      </c>
      <c r="T27" s="13" t="s">
        <v>258</v>
      </c>
      <c r="U27" s="13" t="s">
        <v>259</v>
      </c>
      <c r="V27" s="19" t="s">
        <v>296</v>
      </c>
      <c r="W27" s="19" t="s">
        <v>324</v>
      </c>
      <c r="X27" s="19" t="s">
        <v>296</v>
      </c>
      <c r="Y27" s="19" t="s">
        <v>324</v>
      </c>
    </row>
    <row r="28" customFormat="false" ht="15" hidden="false" customHeight="false" outlineLevel="0" collapsed="false">
      <c r="A28" s="13" t="s">
        <v>147</v>
      </c>
      <c r="B28" s="11" t="s">
        <v>145</v>
      </c>
      <c r="C28" s="13" t="s">
        <v>335</v>
      </c>
      <c r="D28" s="14" t="n">
        <v>1</v>
      </c>
      <c r="E28" s="13" t="s">
        <v>249</v>
      </c>
      <c r="F28" s="13" t="s">
        <v>250</v>
      </c>
      <c r="G28" s="13" t="s">
        <v>251</v>
      </c>
      <c r="H28" s="15" t="str">
        <f aca="false">"["&amp;G28&amp;"]"</f>
        <v>[POSTED]</v>
      </c>
      <c r="I28" s="13" t="s">
        <v>336</v>
      </c>
      <c r="J28" s="13" t="s">
        <v>278</v>
      </c>
      <c r="K28" s="13" t="s">
        <v>334</v>
      </c>
      <c r="L28" s="14" t="n">
        <v>2</v>
      </c>
      <c r="M28" s="16" t="n">
        <v>4</v>
      </c>
      <c r="N28" s="17" t="n">
        <v>421</v>
      </c>
      <c r="O28" s="18" t="n">
        <v>1684</v>
      </c>
      <c r="P28" s="17" t="n">
        <v>0.21</v>
      </c>
      <c r="Q28" s="13" t="s">
        <v>255</v>
      </c>
      <c r="R28" s="13" t="s">
        <v>337</v>
      </c>
      <c r="S28" s="13" t="s">
        <v>257</v>
      </c>
      <c r="T28" s="13" t="s">
        <v>258</v>
      </c>
      <c r="U28" s="13" t="s">
        <v>259</v>
      </c>
      <c r="V28" s="19" t="s">
        <v>296</v>
      </c>
      <c r="W28" s="19" t="s">
        <v>338</v>
      </c>
      <c r="X28" s="19" t="s">
        <v>296</v>
      </c>
      <c r="Y28" s="19" t="s">
        <v>338</v>
      </c>
    </row>
    <row r="29" customFormat="false" ht="15" hidden="false" customHeight="false" outlineLevel="0" collapsed="false">
      <c r="A29" s="13" t="s">
        <v>151</v>
      </c>
      <c r="B29" s="11" t="s">
        <v>149</v>
      </c>
      <c r="C29" s="13" t="s">
        <v>339</v>
      </c>
      <c r="D29" s="14" t="n">
        <v>1</v>
      </c>
      <c r="E29" s="13" t="s">
        <v>249</v>
      </c>
      <c r="F29" s="13" t="s">
        <v>250</v>
      </c>
      <c r="G29" s="13" t="s">
        <v>251</v>
      </c>
      <c r="H29" s="15" t="str">
        <f aca="false">"["&amp;G29&amp;"]"</f>
        <v>[POSTED]</v>
      </c>
      <c r="I29" s="13" t="s">
        <v>340</v>
      </c>
      <c r="J29" s="13" t="s">
        <v>253</v>
      </c>
      <c r="K29" s="13" t="s">
        <v>334</v>
      </c>
      <c r="L29" s="14" t="n">
        <v>3</v>
      </c>
      <c r="M29" s="16" t="n">
        <v>4</v>
      </c>
      <c r="N29" s="17" t="n">
        <v>91.7875</v>
      </c>
      <c r="O29" s="18" t="n">
        <v>367.15</v>
      </c>
      <c r="P29" s="17" t="n">
        <v>0.2</v>
      </c>
      <c r="Q29" s="13" t="s">
        <v>255</v>
      </c>
      <c r="R29" s="13" t="s">
        <v>256</v>
      </c>
      <c r="S29" s="13" t="s">
        <v>257</v>
      </c>
      <c r="T29" s="13" t="s">
        <v>258</v>
      </c>
      <c r="U29" s="13" t="s">
        <v>259</v>
      </c>
      <c r="V29" s="19" t="s">
        <v>296</v>
      </c>
      <c r="W29" s="19" t="s">
        <v>324</v>
      </c>
      <c r="X29" s="19" t="s">
        <v>296</v>
      </c>
      <c r="Y29" s="19" t="s">
        <v>324</v>
      </c>
    </row>
    <row r="30" customFormat="false" ht="15" hidden="false" customHeight="false" outlineLevel="0" collapsed="false">
      <c r="A30" s="13" t="s">
        <v>155</v>
      </c>
      <c r="B30" s="11" t="s">
        <v>152</v>
      </c>
      <c r="C30" s="13" t="s">
        <v>341</v>
      </c>
      <c r="D30" s="14" t="n">
        <v>1</v>
      </c>
      <c r="E30" s="13" t="s">
        <v>249</v>
      </c>
      <c r="F30" s="13" t="s">
        <v>250</v>
      </c>
      <c r="G30" s="13" t="s">
        <v>251</v>
      </c>
      <c r="H30" s="15" t="str">
        <f aca="false">"["&amp;G30&amp;"]"</f>
        <v>[POSTED]</v>
      </c>
      <c r="I30" s="13" t="s">
        <v>252</v>
      </c>
      <c r="J30" s="13" t="s">
        <v>342</v>
      </c>
      <c r="K30" s="13" t="s">
        <v>343</v>
      </c>
      <c r="L30" s="14" t="n">
        <v>1</v>
      </c>
      <c r="M30" s="16" t="n">
        <v>4</v>
      </c>
      <c r="N30" s="17" t="n">
        <v>88</v>
      </c>
      <c r="O30" s="18" t="n">
        <v>352</v>
      </c>
      <c r="P30" s="17" t="n">
        <v>0.2</v>
      </c>
      <c r="Q30" s="13" t="s">
        <v>255</v>
      </c>
      <c r="R30" s="13" t="s">
        <v>256</v>
      </c>
      <c r="S30" s="13" t="s">
        <v>257</v>
      </c>
      <c r="T30" s="13" t="s">
        <v>258</v>
      </c>
      <c r="U30" s="13" t="s">
        <v>259</v>
      </c>
      <c r="V30" s="19" t="s">
        <v>296</v>
      </c>
      <c r="W30" s="19" t="s">
        <v>344</v>
      </c>
      <c r="X30" s="19" t="s">
        <v>296</v>
      </c>
      <c r="Y30" s="19" t="s">
        <v>344</v>
      </c>
    </row>
    <row r="31" customFormat="false" ht="15" hidden="false" customHeight="false" outlineLevel="0" collapsed="false">
      <c r="A31" s="13" t="s">
        <v>159</v>
      </c>
      <c r="B31" s="11" t="s">
        <v>157</v>
      </c>
      <c r="C31" s="13" t="s">
        <v>345</v>
      </c>
      <c r="D31" s="14" t="n">
        <v>1</v>
      </c>
      <c r="E31" s="13" t="s">
        <v>249</v>
      </c>
      <c r="F31" s="13" t="s">
        <v>250</v>
      </c>
      <c r="G31" s="13" t="s">
        <v>251</v>
      </c>
      <c r="H31" s="15" t="str">
        <f aca="false">"["&amp;G31&amp;"]"</f>
        <v>[POSTED]</v>
      </c>
      <c r="I31" s="13" t="s">
        <v>283</v>
      </c>
      <c r="J31" s="13" t="s">
        <v>346</v>
      </c>
      <c r="K31" s="13" t="s">
        <v>343</v>
      </c>
      <c r="L31" s="14" t="n">
        <v>2</v>
      </c>
      <c r="M31" s="16" t="n">
        <v>2</v>
      </c>
      <c r="N31" s="17" t="n">
        <v>127.88</v>
      </c>
      <c r="O31" s="18" t="n">
        <v>255.76</v>
      </c>
      <c r="P31" s="17" t="n">
        <v>0.21</v>
      </c>
      <c r="Q31" s="13" t="s">
        <v>255</v>
      </c>
      <c r="R31" s="13" t="s">
        <v>286</v>
      </c>
      <c r="S31" s="13" t="s">
        <v>257</v>
      </c>
      <c r="T31" s="13" t="s">
        <v>258</v>
      </c>
      <c r="U31" s="13" t="s">
        <v>259</v>
      </c>
      <c r="V31" s="19" t="s">
        <v>296</v>
      </c>
      <c r="W31" s="19" t="s">
        <v>347</v>
      </c>
      <c r="X31" s="19" t="s">
        <v>296</v>
      </c>
      <c r="Y31" s="19" t="s">
        <v>347</v>
      </c>
    </row>
    <row r="32" customFormat="false" ht="15" hidden="false" customHeight="false" outlineLevel="0" collapsed="false">
      <c r="A32" s="13" t="s">
        <v>163</v>
      </c>
      <c r="B32" s="11" t="s">
        <v>161</v>
      </c>
      <c r="C32" s="13" t="s">
        <v>348</v>
      </c>
      <c r="D32" s="14" t="n">
        <v>1</v>
      </c>
      <c r="E32" s="13" t="s">
        <v>249</v>
      </c>
      <c r="F32" s="13" t="s">
        <v>250</v>
      </c>
      <c r="G32" s="13" t="s">
        <v>251</v>
      </c>
      <c r="H32" s="15" t="str">
        <f aca="false">"["&amp;G32&amp;"]"</f>
        <v>[POSTED]</v>
      </c>
      <c r="I32" s="13" t="s">
        <v>323</v>
      </c>
      <c r="J32" s="13" t="s">
        <v>342</v>
      </c>
      <c r="K32" s="13" t="s">
        <v>343</v>
      </c>
      <c r="L32" s="14" t="n">
        <v>3</v>
      </c>
      <c r="M32" s="16" t="n">
        <v>4</v>
      </c>
      <c r="N32" s="17" t="n">
        <v>88</v>
      </c>
      <c r="O32" s="18" t="n">
        <v>352</v>
      </c>
      <c r="P32" s="17" t="n">
        <v>0.2</v>
      </c>
      <c r="Q32" s="13" t="s">
        <v>255</v>
      </c>
      <c r="R32" s="13" t="s">
        <v>256</v>
      </c>
      <c r="S32" s="13" t="s">
        <v>257</v>
      </c>
      <c r="T32" s="13" t="s">
        <v>258</v>
      </c>
      <c r="U32" s="13" t="s">
        <v>259</v>
      </c>
      <c r="V32" s="19" t="s">
        <v>296</v>
      </c>
      <c r="W32" s="19" t="s">
        <v>324</v>
      </c>
      <c r="X32" s="19" t="s">
        <v>296</v>
      </c>
      <c r="Y32" s="19" t="s">
        <v>324</v>
      </c>
    </row>
    <row r="33" customFormat="false" ht="15" hidden="false" customHeight="false" outlineLevel="0" collapsed="false">
      <c r="A33" s="13" t="s">
        <v>166</v>
      </c>
      <c r="B33" s="11" t="s">
        <v>164</v>
      </c>
      <c r="C33" s="13" t="s">
        <v>349</v>
      </c>
      <c r="D33" s="14" t="n">
        <v>1</v>
      </c>
      <c r="E33" s="13" t="s">
        <v>350</v>
      </c>
      <c r="F33" s="13" t="s">
        <v>250</v>
      </c>
      <c r="G33" s="13" t="s">
        <v>251</v>
      </c>
      <c r="H33" s="15" t="str">
        <f aca="false">"["&amp;G33&amp;"]"</f>
        <v>[POSTED]</v>
      </c>
      <c r="I33" s="13" t="s">
        <v>323</v>
      </c>
      <c r="J33" s="13" t="s">
        <v>253</v>
      </c>
      <c r="K33" s="13" t="s">
        <v>351</v>
      </c>
      <c r="L33" s="14" t="n">
        <v>1</v>
      </c>
      <c r="M33" s="16" t="n">
        <v>4</v>
      </c>
      <c r="N33" s="17" t="n">
        <v>91.7875</v>
      </c>
      <c r="O33" s="18" t="n">
        <v>367.15</v>
      </c>
      <c r="P33" s="17" t="n">
        <v>0.2</v>
      </c>
      <c r="Q33" s="13" t="s">
        <v>255</v>
      </c>
      <c r="R33" s="13" t="s">
        <v>256</v>
      </c>
      <c r="S33" s="13" t="s">
        <v>257</v>
      </c>
      <c r="T33" s="13" t="s">
        <v>258</v>
      </c>
      <c r="U33" s="13" t="s">
        <v>259</v>
      </c>
      <c r="V33" s="19" t="s">
        <v>296</v>
      </c>
      <c r="W33" s="19" t="s">
        <v>328</v>
      </c>
      <c r="X33" s="19" t="s">
        <v>296</v>
      </c>
      <c r="Y33" s="19" t="s">
        <v>328</v>
      </c>
    </row>
    <row r="34" customFormat="false" ht="15" hidden="false" customHeight="false" outlineLevel="0" collapsed="false">
      <c r="A34" s="13" t="s">
        <v>170</v>
      </c>
      <c r="B34" s="11" t="s">
        <v>167</v>
      </c>
      <c r="C34" s="13" t="s">
        <v>352</v>
      </c>
      <c r="D34" s="14" t="n">
        <v>1</v>
      </c>
      <c r="E34" s="13" t="s">
        <v>272</v>
      </c>
      <c r="F34" s="13" t="s">
        <v>273</v>
      </c>
      <c r="G34" s="13" t="s">
        <v>251</v>
      </c>
      <c r="H34" s="15" t="str">
        <f aca="false">"["&amp;G34&amp;"]"</f>
        <v>[POSTED]</v>
      </c>
      <c r="I34" s="13" t="s">
        <v>252</v>
      </c>
      <c r="J34" s="13" t="s">
        <v>253</v>
      </c>
      <c r="K34" s="13" t="s">
        <v>254</v>
      </c>
      <c r="L34" s="14" t="n">
        <v>1</v>
      </c>
      <c r="M34" s="16" t="n">
        <v>-2</v>
      </c>
      <c r="N34" s="17" t="n">
        <v>91.79</v>
      </c>
      <c r="O34" s="18" t="n">
        <v>183.58</v>
      </c>
      <c r="P34" s="17" t="n">
        <v>0.2</v>
      </c>
      <c r="Q34" s="13" t="s">
        <v>255</v>
      </c>
      <c r="R34" s="13" t="s">
        <v>256</v>
      </c>
      <c r="S34" s="13" t="s">
        <v>257</v>
      </c>
      <c r="T34" s="13" t="s">
        <v>258</v>
      </c>
      <c r="U34" s="13" t="s">
        <v>259</v>
      </c>
      <c r="V34" s="19" t="s">
        <v>296</v>
      </c>
      <c r="W34" s="19" t="s">
        <v>353</v>
      </c>
      <c r="X34" s="19" t="s">
        <v>296</v>
      </c>
      <c r="Y34" s="19" t="s">
        <v>353</v>
      </c>
    </row>
    <row r="35" customFormat="false" ht="15" hidden="false" customHeight="false" outlineLevel="0" collapsed="false">
      <c r="A35" s="13" t="s">
        <v>174</v>
      </c>
      <c r="B35" s="11" t="s">
        <v>172</v>
      </c>
      <c r="C35" s="13" t="s">
        <v>354</v>
      </c>
      <c r="D35" s="14" t="n">
        <v>1</v>
      </c>
      <c r="E35" s="13" t="s">
        <v>249</v>
      </c>
      <c r="F35" s="13" t="s">
        <v>250</v>
      </c>
      <c r="G35" s="13" t="s">
        <v>251</v>
      </c>
      <c r="H35" s="15" t="str">
        <f aca="false">"["&amp;G35&amp;"]"</f>
        <v>[POSTED]</v>
      </c>
      <c r="I35" s="13" t="s">
        <v>252</v>
      </c>
      <c r="J35" s="13" t="s">
        <v>253</v>
      </c>
      <c r="K35" s="13" t="s">
        <v>351</v>
      </c>
      <c r="L35" s="14" t="n">
        <v>2</v>
      </c>
      <c r="M35" s="16" t="n">
        <v>4</v>
      </c>
      <c r="N35" s="17" t="n">
        <v>91.7875</v>
      </c>
      <c r="O35" s="18" t="n">
        <v>3671.5</v>
      </c>
      <c r="P35" s="17" t="n">
        <v>0.2</v>
      </c>
      <c r="Q35" s="13" t="s">
        <v>255</v>
      </c>
      <c r="R35" s="13" t="s">
        <v>256</v>
      </c>
      <c r="S35" s="13" t="s">
        <v>257</v>
      </c>
      <c r="T35" s="13" t="s">
        <v>258</v>
      </c>
      <c r="U35" s="13" t="s">
        <v>259</v>
      </c>
      <c r="V35" s="19" t="s">
        <v>296</v>
      </c>
      <c r="W35" s="19" t="s">
        <v>353</v>
      </c>
      <c r="X35" s="19" t="s">
        <v>296</v>
      </c>
      <c r="Y35" s="19" t="s">
        <v>353</v>
      </c>
    </row>
    <row r="36" customFormat="false" ht="15" hidden="false" customHeight="false" outlineLevel="0" collapsed="false">
      <c r="A36" s="13" t="s">
        <v>177</v>
      </c>
      <c r="B36" s="11" t="s">
        <v>175</v>
      </c>
      <c r="C36" s="13" t="s">
        <v>355</v>
      </c>
      <c r="D36" s="14" t="n">
        <v>1</v>
      </c>
      <c r="E36" s="13" t="s">
        <v>249</v>
      </c>
      <c r="F36" s="13" t="s">
        <v>250</v>
      </c>
      <c r="G36" s="13" t="s">
        <v>251</v>
      </c>
      <c r="H36" s="15" t="str">
        <f aca="false">"["&amp;G36&amp;"]"</f>
        <v>[POSTED]</v>
      </c>
      <c r="I36" s="13" t="s">
        <v>277</v>
      </c>
      <c r="J36" s="13" t="s">
        <v>342</v>
      </c>
      <c r="K36" s="13" t="s">
        <v>351</v>
      </c>
      <c r="L36" s="14" t="n">
        <v>3</v>
      </c>
      <c r="M36" s="16" t="n">
        <v>2</v>
      </c>
      <c r="N36" s="17" t="n">
        <v>88</v>
      </c>
      <c r="O36" s="18" t="n">
        <v>1760</v>
      </c>
      <c r="P36" s="17" t="n">
        <v>0.19</v>
      </c>
      <c r="Q36" s="13" t="s">
        <v>255</v>
      </c>
      <c r="R36" s="13" t="s">
        <v>280</v>
      </c>
      <c r="S36" s="13" t="s">
        <v>257</v>
      </c>
      <c r="T36" s="13" t="s">
        <v>258</v>
      </c>
      <c r="U36" s="13" t="s">
        <v>259</v>
      </c>
      <c r="V36" s="19" t="s">
        <v>296</v>
      </c>
      <c r="W36" s="19" t="s">
        <v>344</v>
      </c>
      <c r="X36" s="19" t="s">
        <v>296</v>
      </c>
      <c r="Y36" s="19" t="s">
        <v>344</v>
      </c>
    </row>
    <row r="37" customFormat="false" ht="15" hidden="false" customHeight="false" outlineLevel="0" collapsed="false">
      <c r="A37" s="13" t="s">
        <v>181</v>
      </c>
      <c r="B37" s="11" t="s">
        <v>178</v>
      </c>
      <c r="C37" s="13" t="s">
        <v>356</v>
      </c>
      <c r="D37" s="14" t="n">
        <v>1</v>
      </c>
      <c r="E37" s="13" t="s">
        <v>249</v>
      </c>
      <c r="F37" s="13" t="s">
        <v>250</v>
      </c>
      <c r="G37" s="13" t="s">
        <v>251</v>
      </c>
      <c r="H37" s="15" t="str">
        <f aca="false">"["&amp;G37&amp;"]"</f>
        <v>[POSTED]</v>
      </c>
      <c r="I37" s="13" t="s">
        <v>268</v>
      </c>
      <c r="J37" s="13" t="s">
        <v>357</v>
      </c>
      <c r="K37" s="13"/>
      <c r="L37" s="14"/>
      <c r="M37" s="16" t="n">
        <v>1.5</v>
      </c>
      <c r="N37" s="17" t="n">
        <v>29.99</v>
      </c>
      <c r="O37" s="18" t="n">
        <v>44.99</v>
      </c>
      <c r="P37" s="17"/>
      <c r="Q37" s="13" t="s">
        <v>255</v>
      </c>
      <c r="R37" s="13" t="s">
        <v>256</v>
      </c>
      <c r="S37" s="13" t="s">
        <v>257</v>
      </c>
      <c r="T37" s="13" t="s">
        <v>258</v>
      </c>
      <c r="U37" s="13" t="s">
        <v>259</v>
      </c>
      <c r="V37" s="19" t="s">
        <v>52</v>
      </c>
      <c r="W37" s="19"/>
      <c r="X37" s="19" t="s">
        <v>296</v>
      </c>
      <c r="Y37" s="19" t="s">
        <v>358</v>
      </c>
    </row>
    <row r="38" customFormat="false" ht="15" hidden="false" customHeight="false" outlineLevel="0" collapsed="false">
      <c r="A38" s="13" t="s">
        <v>185</v>
      </c>
      <c r="B38" s="11" t="s">
        <v>183</v>
      </c>
      <c r="C38" s="13" t="s">
        <v>359</v>
      </c>
      <c r="D38" s="14" t="n">
        <v>1</v>
      </c>
      <c r="E38" s="13" t="s">
        <v>249</v>
      </c>
      <c r="F38" s="13" t="s">
        <v>250</v>
      </c>
      <c r="G38" s="13" t="s">
        <v>251</v>
      </c>
      <c r="H38" s="15" t="str">
        <f aca="false">"["&amp;G38&amp;"]"</f>
        <v>[POSTED]</v>
      </c>
      <c r="I38" s="13" t="s">
        <v>252</v>
      </c>
      <c r="J38" s="13" t="s">
        <v>253</v>
      </c>
      <c r="K38" s="13" t="s">
        <v>254</v>
      </c>
      <c r="L38" s="14" t="n">
        <v>9</v>
      </c>
      <c r="M38" s="16" t="n">
        <v>2</v>
      </c>
      <c r="N38" s="17" t="n">
        <v>91.7875</v>
      </c>
      <c r="O38" s="18" t="n">
        <v>183.58</v>
      </c>
      <c r="P38" s="17" t="n">
        <v>0.2</v>
      </c>
      <c r="Q38" s="13" t="s">
        <v>255</v>
      </c>
      <c r="R38" s="13" t="s">
        <v>256</v>
      </c>
      <c r="S38" s="13" t="s">
        <v>257</v>
      </c>
      <c r="T38" s="13" t="s">
        <v>258</v>
      </c>
      <c r="U38" s="13" t="s">
        <v>259</v>
      </c>
      <c r="V38" s="19" t="s">
        <v>52</v>
      </c>
      <c r="W38" s="19"/>
      <c r="X38" s="19" t="s">
        <v>296</v>
      </c>
      <c r="Y38" s="19" t="s">
        <v>360</v>
      </c>
    </row>
    <row r="39" customFormat="false" ht="15" hidden="false" customHeight="false" outlineLevel="0" collapsed="false">
      <c r="A39" s="13" t="s">
        <v>189</v>
      </c>
      <c r="B39" s="11" t="s">
        <v>187</v>
      </c>
      <c r="C39" s="13" t="s">
        <v>361</v>
      </c>
      <c r="D39" s="14" t="n">
        <v>1</v>
      </c>
      <c r="E39" s="13" t="s">
        <v>249</v>
      </c>
      <c r="F39" s="13" t="s">
        <v>250</v>
      </c>
      <c r="G39" s="13" t="s">
        <v>251</v>
      </c>
      <c r="H39" s="15" t="str">
        <f aca="false">"["&amp;G39&amp;"]"</f>
        <v>[POSTED]</v>
      </c>
      <c r="I39" s="13" t="s">
        <v>283</v>
      </c>
      <c r="J39" s="13" t="s">
        <v>278</v>
      </c>
      <c r="K39" s="13" t="s">
        <v>362</v>
      </c>
      <c r="L39" s="14" t="n">
        <v>1</v>
      </c>
      <c r="M39" s="16" t="n">
        <v>4</v>
      </c>
      <c r="N39" s="17" t="n">
        <v>441</v>
      </c>
      <c r="O39" s="18" t="n">
        <v>1764</v>
      </c>
      <c r="P39" s="17" t="n">
        <v>0.21</v>
      </c>
      <c r="Q39" s="13" t="s">
        <v>255</v>
      </c>
      <c r="R39" s="13" t="s">
        <v>286</v>
      </c>
      <c r="S39" s="13" t="s">
        <v>257</v>
      </c>
      <c r="T39" s="13" t="s">
        <v>258</v>
      </c>
      <c r="U39" s="13" t="s">
        <v>259</v>
      </c>
      <c r="V39" s="19" t="s">
        <v>52</v>
      </c>
      <c r="W39" s="19"/>
      <c r="X39" s="19" t="s">
        <v>296</v>
      </c>
      <c r="Y39" s="19" t="s">
        <v>360</v>
      </c>
    </row>
    <row r="40" customFormat="false" ht="15" hidden="false" customHeight="false" outlineLevel="0" collapsed="false">
      <c r="A40" s="13" t="s">
        <v>192</v>
      </c>
      <c r="B40" s="11" t="s">
        <v>190</v>
      </c>
      <c r="C40" s="13" t="s">
        <v>363</v>
      </c>
      <c r="D40" s="14" t="n">
        <v>1</v>
      </c>
      <c r="E40" s="13" t="s">
        <v>249</v>
      </c>
      <c r="F40" s="13" t="s">
        <v>250</v>
      </c>
      <c r="G40" s="13" t="s">
        <v>251</v>
      </c>
      <c r="H40" s="15" t="str">
        <f aca="false">"["&amp;G40&amp;"]"</f>
        <v>[POSTED]</v>
      </c>
      <c r="I40" s="13" t="s">
        <v>268</v>
      </c>
      <c r="J40" s="13" t="s">
        <v>253</v>
      </c>
      <c r="K40" s="13" t="s">
        <v>364</v>
      </c>
      <c r="L40" s="14" t="n">
        <v>1</v>
      </c>
      <c r="M40" s="16" t="n">
        <v>4</v>
      </c>
      <c r="N40" s="17" t="n">
        <v>93.361</v>
      </c>
      <c r="O40" s="18" t="n">
        <v>373.44</v>
      </c>
      <c r="P40" s="17" t="n">
        <v>0.2</v>
      </c>
      <c r="Q40" s="13" t="s">
        <v>255</v>
      </c>
      <c r="R40" s="13" t="s">
        <v>256</v>
      </c>
      <c r="S40" s="13" t="s">
        <v>257</v>
      </c>
      <c r="T40" s="13" t="s">
        <v>258</v>
      </c>
      <c r="U40" s="13" t="s">
        <v>259</v>
      </c>
      <c r="V40" s="19" t="s">
        <v>52</v>
      </c>
      <c r="W40" s="19"/>
      <c r="X40" s="19" t="s">
        <v>296</v>
      </c>
      <c r="Y40" s="19" t="s">
        <v>365</v>
      </c>
    </row>
    <row r="41" customFormat="false" ht="15" hidden="false" customHeight="false" outlineLevel="0" collapsed="false">
      <c r="A41" s="13" t="s">
        <v>196</v>
      </c>
      <c r="B41" s="11" t="s">
        <v>194</v>
      </c>
      <c r="C41" s="13" t="s">
        <v>366</v>
      </c>
      <c r="D41" s="14" t="n">
        <v>1</v>
      </c>
      <c r="E41" s="13" t="s">
        <v>272</v>
      </c>
      <c r="F41" s="13" t="s">
        <v>273</v>
      </c>
      <c r="G41" s="13" t="s">
        <v>251</v>
      </c>
      <c r="H41" s="15" t="str">
        <f aca="false">"["&amp;G41&amp;"]"</f>
        <v>[POSTED]</v>
      </c>
      <c r="I41" s="13" t="s">
        <v>277</v>
      </c>
      <c r="J41" s="13" t="s">
        <v>278</v>
      </c>
      <c r="K41" s="13" t="s">
        <v>279</v>
      </c>
      <c r="L41" s="14" t="n">
        <v>1</v>
      </c>
      <c r="M41" s="16" t="n">
        <v>-2</v>
      </c>
      <c r="N41" s="17" t="n">
        <v>416.075</v>
      </c>
      <c r="O41" s="18" t="n">
        <v>-832.15</v>
      </c>
      <c r="P41" s="17" t="n">
        <v>0.19</v>
      </c>
      <c r="Q41" s="13" t="s">
        <v>255</v>
      </c>
      <c r="R41" s="13" t="s">
        <v>280</v>
      </c>
      <c r="S41" s="13" t="s">
        <v>257</v>
      </c>
      <c r="T41" s="13" t="s">
        <v>258</v>
      </c>
      <c r="U41" s="13" t="s">
        <v>259</v>
      </c>
      <c r="V41" s="19" t="s">
        <v>52</v>
      </c>
      <c r="W41" s="19"/>
      <c r="X41" s="19" t="s">
        <v>52</v>
      </c>
      <c r="Y41" s="19"/>
    </row>
    <row r="42" customFormat="false" ht="15" hidden="false" customHeight="false" outlineLevel="0" collapsed="false">
      <c r="A42" s="13" t="s">
        <v>199</v>
      </c>
      <c r="B42" s="11" t="s">
        <v>197</v>
      </c>
      <c r="C42" s="13" t="s">
        <v>367</v>
      </c>
      <c r="D42" s="14" t="n">
        <v>1</v>
      </c>
      <c r="E42" s="13" t="s">
        <v>272</v>
      </c>
      <c r="F42" s="13" t="s">
        <v>273</v>
      </c>
      <c r="G42" s="13" t="s">
        <v>251</v>
      </c>
      <c r="H42" s="15" t="str">
        <f aca="false">"["&amp;G42&amp;"]"</f>
        <v>[POSTED]</v>
      </c>
      <c r="I42" s="13" t="s">
        <v>283</v>
      </c>
      <c r="J42" s="13" t="s">
        <v>278</v>
      </c>
      <c r="K42" s="13" t="s">
        <v>368</v>
      </c>
      <c r="L42" s="14" t="n">
        <v>1</v>
      </c>
      <c r="M42" s="16" t="n">
        <v>-1</v>
      </c>
      <c r="N42" s="17" t="n">
        <v>441</v>
      </c>
      <c r="O42" s="18" t="n">
        <v>-441</v>
      </c>
      <c r="P42" s="17" t="n">
        <v>0.21</v>
      </c>
      <c r="Q42" s="13" t="s">
        <v>255</v>
      </c>
      <c r="R42" s="13" t="s">
        <v>286</v>
      </c>
      <c r="S42" s="13" t="s">
        <v>257</v>
      </c>
      <c r="T42" s="13" t="s">
        <v>258</v>
      </c>
      <c r="U42" s="13" t="s">
        <v>259</v>
      </c>
      <c r="V42" s="19" t="s">
        <v>52</v>
      </c>
      <c r="W42" s="19"/>
      <c r="X42" s="19" t="s">
        <v>296</v>
      </c>
      <c r="Y42" s="19" t="s">
        <v>360</v>
      </c>
    </row>
    <row r="43" customFormat="false" ht="15" hidden="false" customHeight="false" outlineLevel="0" collapsed="false">
      <c r="A43" s="13" t="s">
        <v>202</v>
      </c>
      <c r="B43" s="11" t="s">
        <v>200</v>
      </c>
      <c r="C43" s="13" t="s">
        <v>369</v>
      </c>
      <c r="D43" s="14" t="n">
        <v>1</v>
      </c>
      <c r="E43" s="13" t="s">
        <v>249</v>
      </c>
      <c r="F43" s="13" t="s">
        <v>250</v>
      </c>
      <c r="G43" s="13" t="s">
        <v>251</v>
      </c>
      <c r="H43" s="15" t="str">
        <f aca="false">"["&amp;G43&amp;"]"</f>
        <v>[POSTED]</v>
      </c>
      <c r="I43" s="13" t="s">
        <v>252</v>
      </c>
      <c r="J43" s="13" t="s">
        <v>253</v>
      </c>
      <c r="K43" s="13" t="s">
        <v>370</v>
      </c>
      <c r="L43" s="14" t="n">
        <v>1</v>
      </c>
      <c r="M43" s="16" t="n">
        <v>4</v>
      </c>
      <c r="N43" s="17" t="n">
        <v>91.7875</v>
      </c>
      <c r="O43" s="18" t="n">
        <v>376.15</v>
      </c>
      <c r="P43" s="17" t="n">
        <v>0.2</v>
      </c>
      <c r="Q43" s="13" t="s">
        <v>255</v>
      </c>
      <c r="R43" s="13" t="s">
        <v>256</v>
      </c>
      <c r="S43" s="13" t="s">
        <v>257</v>
      </c>
      <c r="T43" s="13" t="s">
        <v>258</v>
      </c>
      <c r="U43" s="13" t="s">
        <v>259</v>
      </c>
      <c r="V43" s="19" t="s">
        <v>296</v>
      </c>
      <c r="W43" s="19" t="s">
        <v>353</v>
      </c>
      <c r="X43" s="19" t="s">
        <v>296</v>
      </c>
      <c r="Y43" s="19" t="s">
        <v>353</v>
      </c>
    </row>
    <row r="44" customFormat="false" ht="15" hidden="false" customHeight="false" outlineLevel="0" collapsed="false">
      <c r="A44" s="13" t="s">
        <v>205</v>
      </c>
      <c r="B44" s="11" t="s">
        <v>203</v>
      </c>
      <c r="C44" s="13" t="s">
        <v>371</v>
      </c>
      <c r="D44" s="14" t="n">
        <v>1</v>
      </c>
      <c r="E44" s="13" t="s">
        <v>249</v>
      </c>
      <c r="F44" s="13" t="s">
        <v>250</v>
      </c>
      <c r="G44" s="13" t="s">
        <v>251</v>
      </c>
      <c r="H44" s="15" t="str">
        <f aca="false">"["&amp;G44&amp;"]"</f>
        <v>[POSTED]</v>
      </c>
      <c r="I44" s="13" t="s">
        <v>372</v>
      </c>
      <c r="J44" s="13" t="s">
        <v>373</v>
      </c>
      <c r="K44" s="13" t="s">
        <v>374</v>
      </c>
      <c r="L44" s="14" t="n">
        <v>1</v>
      </c>
      <c r="M44" s="16" t="n">
        <v>2</v>
      </c>
      <c r="N44" s="17" t="n">
        <v>1082.6196</v>
      </c>
      <c r="O44" s="18" t="n">
        <v>2165.24</v>
      </c>
      <c r="P44" s="17" t="n">
        <v>0.2</v>
      </c>
      <c r="Q44" s="13" t="s">
        <v>375</v>
      </c>
      <c r="R44" s="13" t="s">
        <v>376</v>
      </c>
      <c r="S44" s="13" t="s">
        <v>257</v>
      </c>
      <c r="T44" s="13" t="s">
        <v>258</v>
      </c>
      <c r="U44" s="13" t="s">
        <v>259</v>
      </c>
      <c r="V44" s="19" t="s">
        <v>52</v>
      </c>
      <c r="W44" s="19"/>
      <c r="X44" s="19" t="s">
        <v>52</v>
      </c>
      <c r="Y44" s="19"/>
    </row>
    <row r="45" customFormat="false" ht="15" hidden="false" customHeight="false" outlineLevel="0" collapsed="false">
      <c r="A45" s="13" t="s">
        <v>208</v>
      </c>
      <c r="B45" s="11" t="s">
        <v>206</v>
      </c>
      <c r="C45" s="13" t="s">
        <v>377</v>
      </c>
      <c r="D45" s="14" t="n">
        <v>1</v>
      </c>
      <c r="E45" s="13" t="s">
        <v>249</v>
      </c>
      <c r="F45" s="13" t="s">
        <v>250</v>
      </c>
      <c r="G45" s="13" t="s">
        <v>251</v>
      </c>
      <c r="H45" s="15" t="str">
        <f aca="false">"["&amp;G45&amp;"]"</f>
        <v>[POSTED]</v>
      </c>
      <c r="I45" s="13" t="s">
        <v>378</v>
      </c>
      <c r="J45" s="13" t="s">
        <v>284</v>
      </c>
      <c r="K45" s="13" t="s">
        <v>374</v>
      </c>
      <c r="L45" s="14" t="n">
        <v>2</v>
      </c>
      <c r="M45" s="16" t="n">
        <v>50</v>
      </c>
      <c r="N45" s="17" t="n">
        <v>0.735</v>
      </c>
      <c r="O45" s="18" t="n">
        <v>36.75</v>
      </c>
      <c r="P45" s="17" t="n">
        <v>0.05</v>
      </c>
      <c r="Q45" s="13" t="s">
        <v>379</v>
      </c>
      <c r="R45" s="13" t="s">
        <v>380</v>
      </c>
      <c r="S45" s="13" t="s">
        <v>266</v>
      </c>
      <c r="T45" s="13" t="s">
        <v>258</v>
      </c>
      <c r="U45" s="13" t="s">
        <v>259</v>
      </c>
      <c r="V45" s="19" t="s">
        <v>52</v>
      </c>
      <c r="W45" s="19"/>
      <c r="X45" s="19" t="s">
        <v>52</v>
      </c>
      <c r="Y45" s="19"/>
    </row>
    <row r="46" customFormat="false" ht="15" hidden="false" customHeight="false" outlineLevel="0" collapsed="false">
      <c r="A46" s="13" t="s">
        <v>211</v>
      </c>
      <c r="B46" s="11" t="s">
        <v>209</v>
      </c>
      <c r="C46" s="13" t="s">
        <v>381</v>
      </c>
      <c r="D46" s="14" t="n">
        <v>1</v>
      </c>
      <c r="E46" s="13" t="s">
        <v>249</v>
      </c>
      <c r="F46" s="13" t="s">
        <v>250</v>
      </c>
      <c r="G46" s="13" t="s">
        <v>251</v>
      </c>
      <c r="H46" s="15" t="str">
        <f aca="false">"["&amp;G46&amp;"]"</f>
        <v>[POSTED]</v>
      </c>
      <c r="I46" s="13" t="s">
        <v>382</v>
      </c>
      <c r="J46" s="13" t="s">
        <v>253</v>
      </c>
      <c r="K46" s="13" t="s">
        <v>383</v>
      </c>
      <c r="L46" s="14" t="n">
        <v>1</v>
      </c>
      <c r="M46" s="16" t="n">
        <v>10</v>
      </c>
      <c r="N46" s="17" t="n">
        <v>451.07</v>
      </c>
      <c r="O46" s="18" t="n">
        <v>4510.7</v>
      </c>
      <c r="P46" s="17" t="n">
        <v>0</v>
      </c>
      <c r="Q46" s="13" t="s">
        <v>384</v>
      </c>
      <c r="R46" s="13" t="s">
        <v>385</v>
      </c>
      <c r="S46" s="13" t="s">
        <v>257</v>
      </c>
      <c r="T46" s="13" t="s">
        <v>258</v>
      </c>
      <c r="U46" s="13" t="s">
        <v>259</v>
      </c>
      <c r="V46" s="19" t="s">
        <v>52</v>
      </c>
      <c r="W46" s="19"/>
      <c r="X46" s="19" t="s">
        <v>52</v>
      </c>
      <c r="Y46" s="19"/>
    </row>
    <row r="47" customFormat="false" ht="15" hidden="false" customHeight="false" outlineLevel="0" collapsed="false">
      <c r="A47" s="13" t="s">
        <v>214</v>
      </c>
      <c r="B47" s="11" t="s">
        <v>212</v>
      </c>
      <c r="C47" s="13" t="s">
        <v>386</v>
      </c>
      <c r="D47" s="14" t="n">
        <v>1</v>
      </c>
      <c r="E47" s="13" t="s">
        <v>249</v>
      </c>
      <c r="F47" s="13" t="s">
        <v>250</v>
      </c>
      <c r="G47" s="13" t="s">
        <v>251</v>
      </c>
      <c r="H47" s="15" t="str">
        <f aca="false">"["&amp;G47&amp;"]"</f>
        <v>[POSTED]</v>
      </c>
      <c r="I47" s="13" t="s">
        <v>387</v>
      </c>
      <c r="J47" s="13" t="s">
        <v>253</v>
      </c>
      <c r="K47" s="13" t="s">
        <v>383</v>
      </c>
      <c r="L47" s="14" t="n">
        <v>2</v>
      </c>
      <c r="M47" s="16" t="n">
        <v>1200</v>
      </c>
      <c r="N47" s="17" t="n">
        <v>68.185</v>
      </c>
      <c r="O47" s="18" t="n">
        <v>81822</v>
      </c>
      <c r="P47" s="17" t="n">
        <v>0.22</v>
      </c>
      <c r="Q47" s="13" t="s">
        <v>255</v>
      </c>
      <c r="R47" s="13" t="s">
        <v>388</v>
      </c>
      <c r="S47" s="13" t="s">
        <v>257</v>
      </c>
      <c r="T47" s="13" t="s">
        <v>258</v>
      </c>
      <c r="U47" s="13" t="s">
        <v>259</v>
      </c>
      <c r="V47" s="19" t="s">
        <v>52</v>
      </c>
      <c r="W47" s="19"/>
      <c r="X47" s="19" t="s">
        <v>52</v>
      </c>
      <c r="Y47" s="19"/>
    </row>
    <row r="48" customFormat="false" ht="15" hidden="false" customHeight="false" outlineLevel="0" collapsed="false">
      <c r="A48" s="13" t="s">
        <v>217</v>
      </c>
      <c r="B48" s="11" t="s">
        <v>215</v>
      </c>
      <c r="C48" s="13" t="s">
        <v>389</v>
      </c>
      <c r="D48" s="14" t="n">
        <v>1</v>
      </c>
      <c r="E48" s="13" t="s">
        <v>249</v>
      </c>
      <c r="F48" s="13" t="s">
        <v>250</v>
      </c>
      <c r="G48" s="13" t="s">
        <v>251</v>
      </c>
      <c r="H48" s="15" t="str">
        <f aca="false">"["&amp;G48&amp;"]"</f>
        <v>[POSTED]</v>
      </c>
      <c r="I48" s="13" t="s">
        <v>268</v>
      </c>
      <c r="J48" s="13" t="s">
        <v>357</v>
      </c>
      <c r="K48" s="13" t="s">
        <v>383</v>
      </c>
      <c r="L48" s="14" t="n">
        <v>3</v>
      </c>
      <c r="M48" s="16" t="n">
        <v>0.333</v>
      </c>
      <c r="N48" s="17" t="n">
        <v>29.99</v>
      </c>
      <c r="O48" s="18" t="n">
        <v>9.99</v>
      </c>
      <c r="P48" s="17"/>
      <c r="Q48" s="13" t="s">
        <v>255</v>
      </c>
      <c r="R48" s="13" t="s">
        <v>256</v>
      </c>
      <c r="S48" s="13" t="s">
        <v>257</v>
      </c>
      <c r="T48" s="13" t="s">
        <v>258</v>
      </c>
      <c r="U48" s="13" t="s">
        <v>259</v>
      </c>
      <c r="V48" s="19" t="s">
        <v>52</v>
      </c>
      <c r="W48" s="19"/>
      <c r="X48" s="19" t="s">
        <v>52</v>
      </c>
      <c r="Y48" s="19"/>
    </row>
    <row r="49" customFormat="false" ht="15" hidden="false" customHeight="false" outlineLevel="0" collapsed="false">
      <c r="A49" s="13" t="s">
        <v>220</v>
      </c>
      <c r="B49" s="11" t="s">
        <v>218</v>
      </c>
      <c r="C49" s="13" t="s">
        <v>390</v>
      </c>
      <c r="D49" s="14" t="n">
        <v>1</v>
      </c>
      <c r="E49" s="13" t="s">
        <v>249</v>
      </c>
      <c r="F49" s="13" t="s">
        <v>250</v>
      </c>
      <c r="G49" s="13" t="s">
        <v>391</v>
      </c>
      <c r="H49" s="15" t="str">
        <f aca="false">"["&amp;G49&amp;"]"</f>
        <v>[CANCELLED]</v>
      </c>
      <c r="I49" s="13" t="s">
        <v>277</v>
      </c>
      <c r="J49" s="13" t="s">
        <v>278</v>
      </c>
      <c r="K49" s="13" t="s">
        <v>392</v>
      </c>
      <c r="L49" s="14" t="n">
        <v>1</v>
      </c>
      <c r="M49" s="16" t="n">
        <v>2</v>
      </c>
      <c r="N49" s="17" t="n">
        <v>416.075</v>
      </c>
      <c r="O49" s="18" t="n">
        <v>832.15</v>
      </c>
      <c r="P49" s="17" t="n">
        <v>0.19</v>
      </c>
      <c r="Q49" s="13" t="s">
        <v>255</v>
      </c>
      <c r="R49" s="13" t="s">
        <v>280</v>
      </c>
      <c r="S49" s="13" t="s">
        <v>257</v>
      </c>
      <c r="T49" s="13" t="s">
        <v>258</v>
      </c>
      <c r="U49" s="13" t="s">
        <v>259</v>
      </c>
      <c r="V49" s="19" t="s">
        <v>290</v>
      </c>
      <c r="W49" s="19" t="s">
        <v>291</v>
      </c>
      <c r="X49" s="19" t="s">
        <v>290</v>
      </c>
      <c r="Y49" s="19" t="s">
        <v>291</v>
      </c>
    </row>
    <row r="50" customFormat="false" ht="15" hidden="false" customHeight="false" outlineLevel="0" collapsed="false">
      <c r="A50" s="13" t="s">
        <v>393</v>
      </c>
      <c r="B50" s="11" t="s">
        <v>103</v>
      </c>
      <c r="C50" s="13" t="s">
        <v>308</v>
      </c>
      <c r="D50" s="14" t="n">
        <v>1</v>
      </c>
      <c r="E50" s="13" t="s">
        <v>249</v>
      </c>
      <c r="F50" s="13" t="s">
        <v>250</v>
      </c>
      <c r="G50" s="13" t="s">
        <v>251</v>
      </c>
      <c r="H50" s="15" t="str">
        <f aca="false">"["&amp;G50&amp;"]"</f>
        <v>[POSTED]</v>
      </c>
      <c r="I50" s="13" t="s">
        <v>283</v>
      </c>
      <c r="J50" s="13" t="s">
        <v>253</v>
      </c>
      <c r="K50" s="13" t="s">
        <v>309</v>
      </c>
      <c r="L50" s="14" t="n">
        <v>1</v>
      </c>
      <c r="M50" s="16" t="n">
        <v>2</v>
      </c>
      <c r="N50" s="17" t="n">
        <v>96.508</v>
      </c>
      <c r="O50" s="18" t="n">
        <v>193.02</v>
      </c>
      <c r="P50" s="17" t="n">
        <v>0.21</v>
      </c>
      <c r="Q50" s="13" t="s">
        <v>255</v>
      </c>
      <c r="R50" s="13" t="s">
        <v>286</v>
      </c>
      <c r="S50" s="13" t="s">
        <v>257</v>
      </c>
      <c r="T50" s="13" t="s">
        <v>394</v>
      </c>
      <c r="U50" s="13" t="s">
        <v>395</v>
      </c>
      <c r="V50" s="19" t="s">
        <v>290</v>
      </c>
      <c r="W50" s="19" t="s">
        <v>396</v>
      </c>
      <c r="X50" s="19" t="s">
        <v>290</v>
      </c>
      <c r="Y50" s="19" t="s">
        <v>396</v>
      </c>
    </row>
    <row r="51" customFormat="false" ht="15" hidden="false" customHeight="false" outlineLevel="0" collapsed="false">
      <c r="A51" s="13" t="s">
        <v>397</v>
      </c>
      <c r="B51" s="11" t="s">
        <v>108</v>
      </c>
      <c r="C51" s="13" t="s">
        <v>311</v>
      </c>
      <c r="D51" s="14" t="n">
        <v>1</v>
      </c>
      <c r="E51" s="13" t="s">
        <v>249</v>
      </c>
      <c r="F51" s="13" t="s">
        <v>250</v>
      </c>
      <c r="G51" s="13" t="s">
        <v>251</v>
      </c>
      <c r="H51" s="15" t="str">
        <f aca="false">"["&amp;G51&amp;"]"</f>
        <v>[POSTED]</v>
      </c>
      <c r="I51" s="13" t="s">
        <v>277</v>
      </c>
      <c r="J51" s="13" t="s">
        <v>284</v>
      </c>
      <c r="K51" s="13" t="s">
        <v>309</v>
      </c>
      <c r="L51" s="14" t="n">
        <v>2</v>
      </c>
      <c r="M51" s="16" t="n">
        <v>20</v>
      </c>
      <c r="N51" s="17" t="n">
        <v>0.465</v>
      </c>
      <c r="O51" s="18" t="n">
        <v>9.3</v>
      </c>
      <c r="P51" s="17" t="n">
        <v>0.19</v>
      </c>
      <c r="Q51" s="13" t="s">
        <v>255</v>
      </c>
      <c r="R51" s="13" t="s">
        <v>280</v>
      </c>
      <c r="S51" s="13" t="s">
        <v>257</v>
      </c>
      <c r="T51" s="13" t="s">
        <v>394</v>
      </c>
      <c r="U51" s="13" t="s">
        <v>395</v>
      </c>
      <c r="V51" s="19" t="s">
        <v>290</v>
      </c>
      <c r="W51" s="19" t="s">
        <v>396</v>
      </c>
      <c r="X51" s="19" t="s">
        <v>290</v>
      </c>
      <c r="Y51" s="19" t="s">
        <v>396</v>
      </c>
    </row>
    <row r="52" customFormat="false" ht="15" hidden="false" customHeight="false" outlineLevel="0" collapsed="false">
      <c r="A52" s="13" t="s">
        <v>398</v>
      </c>
      <c r="B52" s="11" t="s">
        <v>116</v>
      </c>
      <c r="C52" s="13" t="s">
        <v>317</v>
      </c>
      <c r="D52" s="14" t="n">
        <v>1</v>
      </c>
      <c r="E52" s="13" t="s">
        <v>249</v>
      </c>
      <c r="F52" s="13" t="s">
        <v>250</v>
      </c>
      <c r="G52" s="13" t="s">
        <v>251</v>
      </c>
      <c r="H52" s="15" t="str">
        <f aca="false">"["&amp;G52&amp;"]"</f>
        <v>[POSTED]</v>
      </c>
      <c r="I52" s="13" t="s">
        <v>268</v>
      </c>
      <c r="J52" s="13" t="s">
        <v>278</v>
      </c>
      <c r="K52" s="13" t="s">
        <v>314</v>
      </c>
      <c r="L52" s="14" t="n">
        <v>2</v>
      </c>
      <c r="M52" s="16" t="n">
        <v>2</v>
      </c>
      <c r="N52" s="17" t="n">
        <v>430.76</v>
      </c>
      <c r="O52" s="18" t="n">
        <v>861.52</v>
      </c>
      <c r="P52" s="17" t="n">
        <v>0.2</v>
      </c>
      <c r="Q52" s="13" t="s">
        <v>255</v>
      </c>
      <c r="R52" s="13" t="s">
        <v>256</v>
      </c>
      <c r="S52" s="13" t="s">
        <v>257</v>
      </c>
      <c r="T52" s="13" t="s">
        <v>394</v>
      </c>
      <c r="U52" s="13" t="s">
        <v>395</v>
      </c>
      <c r="V52" s="19" t="s">
        <v>296</v>
      </c>
      <c r="W52" s="19" t="s">
        <v>315</v>
      </c>
      <c r="X52" s="19" t="s">
        <v>296</v>
      </c>
      <c r="Y52" s="19" t="s">
        <v>315</v>
      </c>
    </row>
    <row r="53" customFormat="false" ht="15" hidden="false" customHeight="false" outlineLevel="0" collapsed="false">
      <c r="A53" s="13" t="s">
        <v>399</v>
      </c>
      <c r="B53" s="11" t="s">
        <v>124</v>
      </c>
      <c r="C53" s="13" t="s">
        <v>322</v>
      </c>
      <c r="D53" s="14" t="n">
        <v>1</v>
      </c>
      <c r="E53" s="13" t="s">
        <v>249</v>
      </c>
      <c r="F53" s="13" t="s">
        <v>250</v>
      </c>
      <c r="G53" s="13" t="s">
        <v>251</v>
      </c>
      <c r="H53" s="15" t="str">
        <f aca="false">"["&amp;G53&amp;"]"</f>
        <v>[POSTED]</v>
      </c>
      <c r="I53" s="13" t="s">
        <v>323</v>
      </c>
      <c r="J53" s="13" t="s">
        <v>253</v>
      </c>
      <c r="K53" s="13" t="s">
        <v>320</v>
      </c>
      <c r="L53" s="14" t="n">
        <v>2</v>
      </c>
      <c r="M53" s="16" t="n">
        <v>4</v>
      </c>
      <c r="N53" s="17" t="n">
        <v>91.7875</v>
      </c>
      <c r="O53" s="18" t="n">
        <v>367.15</v>
      </c>
      <c r="P53" s="17" t="n">
        <v>0.2</v>
      </c>
      <c r="Q53" s="13" t="s">
        <v>255</v>
      </c>
      <c r="R53" s="13" t="s">
        <v>256</v>
      </c>
      <c r="S53" s="13" t="s">
        <v>257</v>
      </c>
      <c r="T53" s="13" t="s">
        <v>394</v>
      </c>
      <c r="U53" s="13" t="s">
        <v>395</v>
      </c>
      <c r="V53" s="19" t="s">
        <v>290</v>
      </c>
      <c r="W53" s="19" t="s">
        <v>396</v>
      </c>
      <c r="X53" s="19" t="s">
        <v>290</v>
      </c>
      <c r="Y53" s="19" t="s">
        <v>396</v>
      </c>
    </row>
    <row r="54" customFormat="false" ht="15" hidden="false" customHeight="false" outlineLevel="0" collapsed="false">
      <c r="A54" s="13" t="s">
        <v>400</v>
      </c>
      <c r="B54" s="11" t="s">
        <v>108</v>
      </c>
      <c r="C54" s="13" t="s">
        <v>311</v>
      </c>
      <c r="D54" s="14" t="n">
        <v>1</v>
      </c>
      <c r="E54" s="13" t="s">
        <v>249</v>
      </c>
      <c r="F54" s="13" t="s">
        <v>250</v>
      </c>
      <c r="G54" s="13" t="s">
        <v>251</v>
      </c>
      <c r="H54" s="15" t="str">
        <f aca="false">"["&amp;G54&amp;"]"</f>
        <v>[POSTED]</v>
      </c>
      <c r="I54" s="13" t="s">
        <v>277</v>
      </c>
      <c r="J54" s="13" t="s">
        <v>284</v>
      </c>
      <c r="K54" s="13" t="s">
        <v>309</v>
      </c>
      <c r="L54" s="14" t="n">
        <v>2</v>
      </c>
      <c r="M54" s="16" t="n">
        <v>20</v>
      </c>
      <c r="N54" s="17" t="n">
        <v>0.465</v>
      </c>
      <c r="O54" s="18" t="n">
        <v>9.3</v>
      </c>
      <c r="P54" s="17" t="n">
        <v>0.19</v>
      </c>
      <c r="Q54" s="13" t="s">
        <v>255</v>
      </c>
      <c r="R54" s="13" t="s">
        <v>280</v>
      </c>
      <c r="S54" s="13" t="s">
        <v>257</v>
      </c>
      <c r="T54" s="13" t="s">
        <v>401</v>
      </c>
      <c r="U54" s="13" t="s">
        <v>402</v>
      </c>
      <c r="V54" s="19" t="s">
        <v>290</v>
      </c>
      <c r="W54" s="19" t="s">
        <v>396</v>
      </c>
      <c r="X54" s="19" t="s">
        <v>290</v>
      </c>
      <c r="Y54" s="19" t="s">
        <v>396</v>
      </c>
    </row>
    <row r="55" customFormat="false" ht="15" hidden="false" customHeight="false" outlineLevel="0" collapsed="false">
      <c r="A55" s="13" t="s">
        <v>403</v>
      </c>
      <c r="B55" s="11" t="s">
        <v>120</v>
      </c>
      <c r="C55" s="13" t="s">
        <v>319</v>
      </c>
      <c r="D55" s="14" t="n">
        <v>1</v>
      </c>
      <c r="E55" s="13" t="s">
        <v>249</v>
      </c>
      <c r="F55" s="13" t="s">
        <v>250</v>
      </c>
      <c r="G55" s="13" t="s">
        <v>251</v>
      </c>
      <c r="H55" s="15" t="str">
        <f aca="false">"["&amp;G55&amp;"]"</f>
        <v>[POSTED]</v>
      </c>
      <c r="I55" s="13" t="s">
        <v>252</v>
      </c>
      <c r="J55" s="13" t="s">
        <v>278</v>
      </c>
      <c r="K55" s="13" t="s">
        <v>320</v>
      </c>
      <c r="L55" s="14" t="n">
        <v>1</v>
      </c>
      <c r="M55" s="16" t="n">
        <v>2</v>
      </c>
      <c r="N55" s="17" t="n">
        <v>430.76</v>
      </c>
      <c r="O55" s="18" t="n">
        <v>861.52</v>
      </c>
      <c r="P55" s="17" t="n">
        <v>0.2</v>
      </c>
      <c r="Q55" s="13" t="s">
        <v>255</v>
      </c>
      <c r="R55" s="13" t="s">
        <v>256</v>
      </c>
      <c r="S55" s="13" t="s">
        <v>257</v>
      </c>
      <c r="T55" s="13" t="s">
        <v>401</v>
      </c>
      <c r="U55" s="13" t="s">
        <v>402</v>
      </c>
      <c r="V55" s="19" t="s">
        <v>52</v>
      </c>
      <c r="W55" s="19"/>
      <c r="X55" s="19" t="s">
        <v>52</v>
      </c>
      <c r="Y55" s="19"/>
    </row>
    <row r="56" customFormat="false" ht="15" hidden="false" customHeight="false" outlineLevel="0" collapsed="false">
      <c r="A56" s="13" t="s">
        <v>404</v>
      </c>
      <c r="B56" s="11" t="s">
        <v>112</v>
      </c>
      <c r="C56" s="13" t="s">
        <v>313</v>
      </c>
      <c r="D56" s="14" t="n">
        <v>1</v>
      </c>
      <c r="E56" s="13" t="s">
        <v>249</v>
      </c>
      <c r="F56" s="13" t="s">
        <v>250</v>
      </c>
      <c r="G56" s="13" t="s">
        <v>251</v>
      </c>
      <c r="H56" s="15" t="str">
        <f aca="false">"["&amp;G56&amp;"]"</f>
        <v>[POSTED]</v>
      </c>
      <c r="I56" s="13" t="s">
        <v>252</v>
      </c>
      <c r="J56" s="13" t="s">
        <v>253</v>
      </c>
      <c r="K56" s="13" t="s">
        <v>314</v>
      </c>
      <c r="L56" s="14" t="n">
        <v>1</v>
      </c>
      <c r="M56" s="16" t="n">
        <v>6</v>
      </c>
      <c r="N56" s="17" t="n">
        <v>91.7875</v>
      </c>
      <c r="O56" s="18" t="n">
        <v>550.73</v>
      </c>
      <c r="P56" s="17" t="n">
        <v>0.2</v>
      </c>
      <c r="Q56" s="13" t="s">
        <v>255</v>
      </c>
      <c r="R56" s="13" t="s">
        <v>256</v>
      </c>
      <c r="S56" s="13" t="s">
        <v>257</v>
      </c>
      <c r="T56" s="13" t="s">
        <v>405</v>
      </c>
      <c r="U56" s="13" t="s">
        <v>406</v>
      </c>
      <c r="V56" s="19" t="s">
        <v>296</v>
      </c>
      <c r="W56" s="19" t="s">
        <v>315</v>
      </c>
      <c r="X56" s="19" t="s">
        <v>296</v>
      </c>
      <c r="Y56" s="19" t="s">
        <v>315</v>
      </c>
    </row>
    <row r="57" customFormat="false" ht="15" hidden="false" customHeight="false" outlineLevel="0" collapsed="false">
      <c r="A57" s="13" t="s">
        <v>407</v>
      </c>
      <c r="B57" s="11" t="s">
        <v>116</v>
      </c>
      <c r="C57" s="13" t="s">
        <v>317</v>
      </c>
      <c r="D57" s="14" t="n">
        <v>1</v>
      </c>
      <c r="E57" s="13" t="s">
        <v>249</v>
      </c>
      <c r="F57" s="13" t="s">
        <v>250</v>
      </c>
      <c r="G57" s="13" t="s">
        <v>251</v>
      </c>
      <c r="H57" s="15" t="str">
        <f aca="false">"["&amp;G57&amp;"]"</f>
        <v>[POSTED]</v>
      </c>
      <c r="I57" s="13" t="s">
        <v>268</v>
      </c>
      <c r="J57" s="13" t="s">
        <v>278</v>
      </c>
      <c r="K57" s="13" t="s">
        <v>314</v>
      </c>
      <c r="L57" s="14" t="n">
        <v>2</v>
      </c>
      <c r="M57" s="16" t="n">
        <v>2</v>
      </c>
      <c r="N57" s="17" t="n">
        <v>409.22</v>
      </c>
      <c r="O57" s="18" t="n">
        <v>818.44</v>
      </c>
      <c r="P57" s="17" t="n">
        <v>0.2</v>
      </c>
      <c r="Q57" s="13" t="s">
        <v>255</v>
      </c>
      <c r="R57" s="13" t="s">
        <v>256</v>
      </c>
      <c r="S57" s="13" t="s">
        <v>257</v>
      </c>
      <c r="T57" s="13" t="s">
        <v>408</v>
      </c>
      <c r="U57" s="13" t="s">
        <v>409</v>
      </c>
      <c r="V57" s="19" t="s">
        <v>296</v>
      </c>
      <c r="W57" s="19" t="s">
        <v>315</v>
      </c>
      <c r="X57" s="19" t="s">
        <v>296</v>
      </c>
      <c r="Y57" s="19" t="s">
        <v>315</v>
      </c>
    </row>
  </sheetData>
  <autoFilter ref="A1:Y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8"/>
    <col collapsed="false" customWidth="true" hidden="false" outlineLevel="0" max="5" min="4" style="0" width="20"/>
  </cols>
  <sheetData>
    <row r="1" customFormat="false" ht="15" hidden="false" customHeight="false" outlineLevel="0" collapsed="false">
      <c r="A1" s="7" t="s">
        <v>410</v>
      </c>
      <c r="B1" s="7" t="s">
        <v>411</v>
      </c>
      <c r="C1" s="7" t="s">
        <v>18</v>
      </c>
      <c r="D1" s="7" t="s">
        <v>412</v>
      </c>
      <c r="E1" s="7" t="s">
        <v>413</v>
      </c>
    </row>
    <row r="2" customFormat="false" ht="15" hidden="false" customHeight="false" outlineLevel="0" collapsed="false">
      <c r="A2" s="12" t="s">
        <v>52</v>
      </c>
      <c r="B2" s="12"/>
      <c r="C2" s="12"/>
      <c r="D2" s="12" t="n">
        <f aca="false">COUNTIF(rows!$V$2:$V$57,$A2)</f>
        <v>22</v>
      </c>
      <c r="E2" s="12" t="n">
        <f aca="false">COUNTIF(rows!$X$2:$X$57,$A2)</f>
        <v>17</v>
      </c>
    </row>
    <row r="3" customFormat="false" ht="15" hidden="false" customHeight="false" outlineLevel="0" collapsed="false">
      <c r="A3" s="12" t="s">
        <v>290</v>
      </c>
      <c r="B3" s="12" t="s">
        <v>291</v>
      </c>
      <c r="C3" s="12" t="s">
        <v>76</v>
      </c>
      <c r="D3" s="12" t="n">
        <f aca="false">COUNTIFS(rows!$V$2:$V$57,$A3,rows!$W$2:$W$57,$B3)</f>
        <v>4</v>
      </c>
      <c r="E3" s="12" t="n">
        <f aca="false">COUNTIFS(rows!$X$2:$X$57,$A3,rows!$Y$2:$Y$57,$B3)</f>
        <v>4</v>
      </c>
    </row>
    <row r="4" customFormat="false" ht="15" hidden="false" customHeight="false" outlineLevel="0" collapsed="false">
      <c r="A4" s="12" t="s">
        <v>290</v>
      </c>
      <c r="B4" s="12" t="s">
        <v>396</v>
      </c>
      <c r="C4" s="12" t="s">
        <v>105</v>
      </c>
      <c r="D4" s="12" t="n">
        <f aca="false">COUNTIFS(rows!$V$2:$V$57,$A4,rows!$W$2:$W$57,$B4)</f>
        <v>4</v>
      </c>
      <c r="E4" s="12" t="n">
        <f aca="false">COUNTIFS(rows!$X$2:$X$57,$A4,rows!$Y$2:$Y$57,$B4)</f>
        <v>4</v>
      </c>
    </row>
    <row r="5" customFormat="false" ht="15" hidden="false" customHeight="false" outlineLevel="0" collapsed="false">
      <c r="A5" s="12" t="s">
        <v>296</v>
      </c>
      <c r="B5" s="12" t="s">
        <v>300</v>
      </c>
      <c r="C5" s="12" t="s">
        <v>88</v>
      </c>
      <c r="D5" s="12" t="n">
        <f aca="false">COUNTIFS(rows!$V$2:$V$57,$A5,rows!$W$2:$W$57,$B5)</f>
        <v>5</v>
      </c>
      <c r="E5" s="12" t="n">
        <f aca="false">COUNTIFS(rows!$X$2:$X$57,$A5,rows!$Y$2:$Y$57,$B5)</f>
        <v>5</v>
      </c>
    </row>
    <row r="6" customFormat="false" ht="15" hidden="false" customHeight="false" outlineLevel="0" collapsed="false">
      <c r="A6" s="12" t="s">
        <v>296</v>
      </c>
      <c r="B6" s="12" t="s">
        <v>297</v>
      </c>
      <c r="C6" s="12" t="s">
        <v>76</v>
      </c>
      <c r="D6" s="12" t="n">
        <f aca="false">COUNTIFS(rows!$V$2:$V$57,$A6,rows!$W$2:$W$57,$B6)</f>
        <v>1</v>
      </c>
      <c r="E6" s="12" t="n">
        <f aca="false">COUNTIFS(rows!$X$2:$X$57,$A6,rows!$Y$2:$Y$57,$B6)</f>
        <v>1</v>
      </c>
    </row>
    <row r="7" customFormat="false" ht="15" hidden="false" customHeight="false" outlineLevel="0" collapsed="false">
      <c r="A7" s="12" t="s">
        <v>296</v>
      </c>
      <c r="B7" s="12" t="s">
        <v>315</v>
      </c>
      <c r="C7" s="12" t="s">
        <v>105</v>
      </c>
      <c r="D7" s="12" t="n">
        <f aca="false">COUNTIFS(rows!$V$2:$V$57,$A7,rows!$W$2:$W$57,$B7)</f>
        <v>5</v>
      </c>
      <c r="E7" s="12" t="n">
        <f aca="false">COUNTIFS(rows!$X$2:$X$57,$A7,rows!$Y$2:$Y$57,$B7)</f>
        <v>5</v>
      </c>
    </row>
    <row r="8" customFormat="false" ht="15" hidden="false" customHeight="false" outlineLevel="0" collapsed="false">
      <c r="A8" s="12" t="s">
        <v>296</v>
      </c>
      <c r="B8" s="12" t="s">
        <v>328</v>
      </c>
      <c r="C8" s="12" t="s">
        <v>131</v>
      </c>
      <c r="D8" s="12" t="n">
        <f aca="false">COUNTIFS(rows!$V$2:$V$57,$A8,rows!$W$2:$W$57,$B8)</f>
        <v>4</v>
      </c>
      <c r="E8" s="12" t="n">
        <f aca="false">COUNTIFS(rows!$X$2:$X$57,$A8,rows!$Y$2:$Y$57,$B8)</f>
        <v>4</v>
      </c>
    </row>
    <row r="9" customFormat="false" ht="15" hidden="false" customHeight="false" outlineLevel="0" collapsed="false">
      <c r="A9" s="12" t="s">
        <v>296</v>
      </c>
      <c r="B9" s="12" t="s">
        <v>324</v>
      </c>
      <c r="C9" s="12" t="s">
        <v>142</v>
      </c>
      <c r="D9" s="12" t="n">
        <f aca="false">COUNTIFS(rows!$V$2:$V$57,$A9,rows!$W$2:$W$57,$B9)</f>
        <v>4</v>
      </c>
      <c r="E9" s="12" t="n">
        <f aca="false">COUNTIFS(rows!$X$2:$X$57,$A9,rows!$Y$2:$Y$57,$B9)</f>
        <v>4</v>
      </c>
    </row>
    <row r="10" customFormat="false" ht="15" hidden="false" customHeight="false" outlineLevel="0" collapsed="false">
      <c r="A10" s="12" t="s">
        <v>296</v>
      </c>
      <c r="B10" s="12" t="s">
        <v>338</v>
      </c>
      <c r="C10" s="12" t="s">
        <v>142</v>
      </c>
      <c r="D10" s="12" t="n">
        <f aca="false">COUNTIFS(rows!$V$2:$V$57,$A10,rows!$W$2:$W$57,$B10)</f>
        <v>1</v>
      </c>
      <c r="E10" s="12" t="n">
        <f aca="false">COUNTIFS(rows!$X$2:$X$57,$A10,rows!$Y$2:$Y$57,$B10)</f>
        <v>1</v>
      </c>
    </row>
    <row r="11" customFormat="false" ht="15" hidden="false" customHeight="false" outlineLevel="0" collapsed="false">
      <c r="A11" s="12" t="s">
        <v>296</v>
      </c>
      <c r="B11" s="12" t="s">
        <v>344</v>
      </c>
      <c r="C11" s="12" t="s">
        <v>154</v>
      </c>
      <c r="D11" s="12" t="n">
        <f aca="false">COUNTIFS(rows!$V$2:$V$57,$A11,rows!$W$2:$W$57,$B11)</f>
        <v>2</v>
      </c>
      <c r="E11" s="12" t="n">
        <f aca="false">COUNTIFS(rows!$X$2:$X$57,$A11,rows!$Y$2:$Y$57,$B11)</f>
        <v>2</v>
      </c>
    </row>
    <row r="12" customFormat="false" ht="15" hidden="false" customHeight="false" outlineLevel="0" collapsed="false">
      <c r="A12" s="12" t="s">
        <v>296</v>
      </c>
      <c r="B12" s="12" t="s">
        <v>347</v>
      </c>
      <c r="C12" s="12" t="s">
        <v>154</v>
      </c>
      <c r="D12" s="12" t="n">
        <f aca="false">COUNTIFS(rows!$V$2:$V$57,$A12,rows!$W$2:$W$57,$B12)</f>
        <v>1</v>
      </c>
      <c r="E12" s="12" t="n">
        <f aca="false">COUNTIFS(rows!$X$2:$X$57,$A12,rows!$Y$2:$Y$57,$B12)</f>
        <v>1</v>
      </c>
    </row>
    <row r="13" customFormat="false" ht="15" hidden="false" customHeight="false" outlineLevel="0" collapsed="false">
      <c r="A13" s="12" t="s">
        <v>296</v>
      </c>
      <c r="B13" s="12" t="s">
        <v>353</v>
      </c>
      <c r="C13" s="12" t="s">
        <v>169</v>
      </c>
      <c r="D13" s="12" t="n">
        <f aca="false">COUNTIFS(rows!$V$2:$V$57,$A13,rows!$W$2:$W$57,$B13)</f>
        <v>3</v>
      </c>
      <c r="E13" s="12" t="n">
        <f aca="false">COUNTIFS(rows!$X$2:$X$57,$A13,rows!$Y$2:$Y$57,$B13)</f>
        <v>3</v>
      </c>
    </row>
    <row r="14" customFormat="false" ht="15" hidden="false" customHeight="false" outlineLevel="0" collapsed="false">
      <c r="A14" s="12" t="s">
        <v>296</v>
      </c>
      <c r="B14" s="12" t="s">
        <v>358</v>
      </c>
      <c r="C14" s="12" t="s">
        <v>180</v>
      </c>
      <c r="D14" s="12" t="n">
        <f aca="false">COUNTIFS(rows!$V$2:$V$57,$A14,rows!$W$2:$W$57,$B14)</f>
        <v>0</v>
      </c>
      <c r="E14" s="12" t="n">
        <f aca="false">COUNTIFS(rows!$X$2:$X$57,$A14,rows!$Y$2:$Y$57,$B14)</f>
        <v>1</v>
      </c>
    </row>
    <row r="15" customFormat="false" ht="15" hidden="false" customHeight="false" outlineLevel="0" collapsed="false">
      <c r="A15" s="12" t="s">
        <v>296</v>
      </c>
      <c r="B15" s="12" t="s">
        <v>360</v>
      </c>
      <c r="C15" s="12" t="s">
        <v>180</v>
      </c>
      <c r="D15" s="12" t="n">
        <f aca="false">COUNTIFS(rows!$V$2:$V$57,$A15,rows!$W$2:$W$57,$B15)</f>
        <v>0</v>
      </c>
      <c r="E15" s="12" t="n">
        <f aca="false">COUNTIFS(rows!$X$2:$X$57,$A15,rows!$Y$2:$Y$57,$B15)</f>
        <v>3</v>
      </c>
    </row>
    <row r="16" customFormat="false" ht="15" hidden="false" customHeight="false" outlineLevel="0" collapsed="false">
      <c r="A16" s="12" t="s">
        <v>296</v>
      </c>
      <c r="B16" s="12" t="s">
        <v>365</v>
      </c>
      <c r="C16" s="12" t="s">
        <v>180</v>
      </c>
      <c r="D16" s="12" t="n">
        <f aca="false">COUNTIFS(rows!$V$2:$V$57,$A16,rows!$W$2:$W$57,$B16)</f>
        <v>0</v>
      </c>
      <c r="E16" s="12" t="n">
        <f aca="false">COUNTIFS(rows!$X$2:$X$57,$A16,rows!$Y$2:$Y$57,$B16)</f>
        <v>1</v>
      </c>
    </row>
    <row r="17" customFormat="false" ht="15" hidden="false" customHeight="false" outlineLevel="0" collapsed="false">
      <c r="A17" s="11" t="s">
        <v>414</v>
      </c>
      <c r="D17" s="11" t="n">
        <f aca="false">SUM(D2:D16)</f>
        <v>56</v>
      </c>
      <c r="E17" s="11" t="n">
        <f aca="false">SUM(E2:E16)</f>
        <v>56</v>
      </c>
    </row>
    <row r="18" customFormat="false" ht="15" hidden="false" customHeight="false" outlineLevel="0" collapsed="false">
      <c r="A18" s="11" t="s">
        <v>43</v>
      </c>
      <c r="D18" s="11" t="n">
        <f aca="false">COUNTA(rows!$A$2:$A$57)</f>
        <v>56</v>
      </c>
      <c r="E18" s="11" t="n">
        <f aca="false">COUNTA(rows!$A$2:$A$57)</f>
        <v>56</v>
      </c>
    </row>
    <row r="19" customFormat="false" ht="15" hidden="false" customHeight="false" outlineLevel="0" collapsed="false">
      <c r="A19" s="11" t="s">
        <v>415</v>
      </c>
      <c r="D19" s="11" t="str">
        <f aca="false">IF(D17=D18,"yes","NO")</f>
        <v>yes</v>
      </c>
      <c r="E19" s="11" t="str">
        <f aca="false">IF(E17=E18,"yes","NO")</f>
        <v>yes</v>
      </c>
    </row>
    <row r="21" customFormat="false" ht="15" hidden="false" customHeight="false" outlineLevel="0" collapsed="false">
      <c r="A21" s="2"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4" min="3" style="0" width="11"/>
    <col collapsed="false" customWidth="true" hidden="false" outlineLevel="0" max="5" min="5" style="0" width="13"/>
    <col collapsed="false" customWidth="true" hidden="false" outlineLevel="0" max="6" min="6" style="0" width="14"/>
    <col collapsed="false" customWidth="true" hidden="false" outlineLevel="0" max="7" min="7" style="0" width="16"/>
    <col collapsed="false" customWidth="true" hidden="false" outlineLevel="0" max="8" min="8" style="0" width="18"/>
    <col collapsed="false" customWidth="true" hidden="false" outlineLevel="0" max="9" min="9" style="0" width="14"/>
    <col collapsed="false" customWidth="true" hidden="false" outlineLevel="0" max="10" min="10" style="0" width="16"/>
    <col collapsed="false" customWidth="true" hidden="false" outlineLevel="0" max="11" min="11" style="0" width="15"/>
    <col collapsed="false" customWidth="true" hidden="false" outlineLevel="0" max="12" min="12" style="0" width="38"/>
  </cols>
  <sheetData>
    <row r="1" customFormat="false" ht="43.5" hidden="false" customHeight="true" outlineLevel="0" collapsed="false">
      <c r="A1" s="7" t="s">
        <v>224</v>
      </c>
      <c r="B1" s="7" t="s">
        <v>39</v>
      </c>
      <c r="C1" s="7" t="s">
        <v>235</v>
      </c>
      <c r="D1" s="7" t="s">
        <v>236</v>
      </c>
      <c r="E1" s="7" t="s">
        <v>417</v>
      </c>
      <c r="F1" s="7" t="s">
        <v>418</v>
      </c>
      <c r="G1" s="7" t="s">
        <v>419</v>
      </c>
      <c r="H1" s="7" t="s">
        <v>420</v>
      </c>
      <c r="I1" s="7" t="s">
        <v>421</v>
      </c>
      <c r="J1" s="7" t="s">
        <v>422</v>
      </c>
      <c r="K1" s="7" t="s">
        <v>423</v>
      </c>
      <c r="L1" s="7" t="s">
        <v>424</v>
      </c>
    </row>
    <row r="2" customFormat="false" ht="15" hidden="false" customHeight="false" outlineLevel="0" collapsed="false">
      <c r="A2" s="11" t="s">
        <v>51</v>
      </c>
      <c r="B2" s="12" t="s">
        <v>47</v>
      </c>
      <c r="C2" s="16" t="n">
        <v>4</v>
      </c>
      <c r="D2" s="17" t="n">
        <v>91.7875</v>
      </c>
      <c r="E2" s="18" t="n">
        <v>367.15</v>
      </c>
      <c r="F2" s="20" t="n">
        <f aca="false">ROUND(C2*1000,0)</f>
        <v>4000</v>
      </c>
      <c r="G2" s="20" t="n">
        <f aca="false">ROUND(D2*10000,0)</f>
        <v>917875</v>
      </c>
      <c r="H2" s="21" t="n">
        <f aca="false">F2*G2/100000</f>
        <v>36715</v>
      </c>
      <c r="I2" s="20" t="n">
        <f aca="false">ROUND(H2,0)</f>
        <v>36715</v>
      </c>
      <c r="J2" s="22" t="n">
        <f aca="false">I2/100</f>
        <v>367.15</v>
      </c>
      <c r="K2" s="12" t="str">
        <f aca="false">IF(OR(C2="",D2="",E2=""),"missing value",IF(ROUND(E2*100,0)=I2,"matches","MISMATCH"))</f>
        <v>matches</v>
      </c>
      <c r="L2" s="19" t="s">
        <v>52</v>
      </c>
    </row>
    <row r="3" customFormat="false" ht="15" hidden="false" customHeight="false" outlineLevel="0" collapsed="false">
      <c r="A3" s="11" t="s">
        <v>55</v>
      </c>
      <c r="B3" s="12" t="s">
        <v>53</v>
      </c>
      <c r="C3" s="16" t="n">
        <v>2.5</v>
      </c>
      <c r="D3" s="17" t="n">
        <v>12.25</v>
      </c>
      <c r="E3" s="18" t="n">
        <v>30.63</v>
      </c>
      <c r="F3" s="20" t="n">
        <f aca="false">ROUND(C3*1000,0)</f>
        <v>2500</v>
      </c>
      <c r="G3" s="20" t="n">
        <f aca="false">ROUND(D3*10000,0)</f>
        <v>122500</v>
      </c>
      <c r="H3" s="21" t="n">
        <f aca="false">F3*G3/100000</f>
        <v>3062.5</v>
      </c>
      <c r="I3" s="20" t="n">
        <f aca="false">ROUND(H3,0)</f>
        <v>3063</v>
      </c>
      <c r="J3" s="22" t="n">
        <f aca="false">I3/100</f>
        <v>30.63</v>
      </c>
      <c r="K3" s="12" t="str">
        <f aca="false">IF(OR(C3="",D3="",E3=""),"missing value",IF(ROUND(E3*100,0)=I3,"matches","MISMATCH"))</f>
        <v>matches</v>
      </c>
      <c r="L3" s="19" t="s">
        <v>52</v>
      </c>
    </row>
    <row r="4" customFormat="false" ht="15" hidden="false" customHeight="false" outlineLevel="0" collapsed="false">
      <c r="A4" s="11" t="s">
        <v>58</v>
      </c>
      <c r="B4" s="12" t="s">
        <v>56</v>
      </c>
      <c r="C4" s="16" t="n">
        <v>8</v>
      </c>
      <c r="D4" s="17" t="n">
        <v>99.1305</v>
      </c>
      <c r="E4" s="18" t="n">
        <v>793.04</v>
      </c>
      <c r="F4" s="20" t="n">
        <f aca="false">ROUND(C4*1000,0)</f>
        <v>8000</v>
      </c>
      <c r="G4" s="20" t="n">
        <f aca="false">ROUND(D4*10000,0)</f>
        <v>991305</v>
      </c>
      <c r="H4" s="21" t="n">
        <f aca="false">F4*G4/100000</f>
        <v>79304.4</v>
      </c>
      <c r="I4" s="20" t="n">
        <f aca="false">ROUND(H4,0)</f>
        <v>79304</v>
      </c>
      <c r="J4" s="22" t="n">
        <f aca="false">I4/100</f>
        <v>793.04</v>
      </c>
      <c r="K4" s="12" t="str">
        <f aca="false">IF(OR(C4="",D4="",E4=""),"missing value",IF(ROUND(E4*100,0)=I4,"matches","MISMATCH"))</f>
        <v>matches</v>
      </c>
      <c r="L4" s="19" t="s">
        <v>52</v>
      </c>
    </row>
    <row r="5" customFormat="false" ht="15" hidden="false" customHeight="false" outlineLevel="0" collapsed="false">
      <c r="A5" s="11" t="s">
        <v>61</v>
      </c>
      <c r="B5" s="12" t="s">
        <v>59</v>
      </c>
      <c r="C5" s="16" t="n">
        <v>1</v>
      </c>
      <c r="D5" s="17" t="n">
        <v>3</v>
      </c>
      <c r="E5" s="18" t="n">
        <v>3</v>
      </c>
      <c r="F5" s="20" t="n">
        <f aca="false">ROUND(C5*1000,0)</f>
        <v>1000</v>
      </c>
      <c r="G5" s="20" t="n">
        <f aca="false">ROUND(D5*10000,0)</f>
        <v>30000</v>
      </c>
      <c r="H5" s="21" t="n">
        <f aca="false">F5*G5/100000</f>
        <v>300</v>
      </c>
      <c r="I5" s="20" t="n">
        <f aca="false">ROUND(H5,0)</f>
        <v>300</v>
      </c>
      <c r="J5" s="22" t="n">
        <f aca="false">I5/100</f>
        <v>3</v>
      </c>
      <c r="K5" s="12" t="str">
        <f aca="false">IF(OR(C5="",D5="",E5=""),"missing value",IF(ROUND(E5*100,0)=I5,"matches","MISMATCH"))</f>
        <v>matches</v>
      </c>
      <c r="L5" s="19" t="s">
        <v>52</v>
      </c>
    </row>
    <row r="6" customFormat="false" ht="15" hidden="false" customHeight="false" outlineLevel="0" collapsed="false">
      <c r="A6" s="11" t="s">
        <v>64</v>
      </c>
      <c r="B6" s="12" t="s">
        <v>62</v>
      </c>
      <c r="C6" s="16" t="n">
        <v>-4</v>
      </c>
      <c r="D6" s="17" t="n">
        <v>91.7875</v>
      </c>
      <c r="E6" s="18" t="n">
        <v>-367.15</v>
      </c>
      <c r="F6" s="20" t="n">
        <f aca="false">ROUND(C6*1000,0)</f>
        <v>-4000</v>
      </c>
      <c r="G6" s="20" t="n">
        <f aca="false">ROUND(D6*10000,0)</f>
        <v>917875</v>
      </c>
      <c r="H6" s="21" t="n">
        <f aca="false">F6*G6/100000</f>
        <v>-36715</v>
      </c>
      <c r="I6" s="20" t="n">
        <f aca="false">ROUND(H6,0)</f>
        <v>-36715</v>
      </c>
      <c r="J6" s="22" t="n">
        <f aca="false">I6/100</f>
        <v>-367.15</v>
      </c>
      <c r="K6" s="12" t="str">
        <f aca="false">IF(OR(C6="",D6="",E6=""),"missing value",IF(ROUND(E6*100,0)=I6,"matches","MISMATCH"))</f>
        <v>matches</v>
      </c>
      <c r="L6" s="19" t="s">
        <v>52</v>
      </c>
    </row>
    <row r="7" customFormat="false" ht="15" hidden="false" customHeight="false" outlineLevel="0" collapsed="false">
      <c r="A7" s="11" t="s">
        <v>67</v>
      </c>
      <c r="B7" s="12" t="s">
        <v>65</v>
      </c>
      <c r="C7" s="16" t="n">
        <v>-1</v>
      </c>
      <c r="D7" s="17" t="n">
        <v>3</v>
      </c>
      <c r="E7" s="18" t="n">
        <v>-3</v>
      </c>
      <c r="F7" s="20" t="n">
        <f aca="false">ROUND(C7*1000,0)</f>
        <v>-1000</v>
      </c>
      <c r="G7" s="20" t="n">
        <f aca="false">ROUND(D7*10000,0)</f>
        <v>30000</v>
      </c>
      <c r="H7" s="21" t="n">
        <f aca="false">F7*G7/100000</f>
        <v>-300</v>
      </c>
      <c r="I7" s="20" t="n">
        <f aca="false">ROUND(H7,0)</f>
        <v>-300</v>
      </c>
      <c r="J7" s="22" t="n">
        <f aca="false">I7/100</f>
        <v>-3</v>
      </c>
      <c r="K7" s="12" t="str">
        <f aca="false">IF(OR(C7="",D7="",E7=""),"missing value",IF(ROUND(E7*100,0)=I7,"matches","MISMATCH"))</f>
        <v>matches</v>
      </c>
      <c r="L7" s="19" t="s">
        <v>52</v>
      </c>
    </row>
    <row r="8" customFormat="false" ht="15" hidden="false" customHeight="false" outlineLevel="0" collapsed="false">
      <c r="A8" s="11" t="s">
        <v>70</v>
      </c>
      <c r="B8" s="12" t="s">
        <v>68</v>
      </c>
      <c r="C8" s="16" t="n">
        <v>6</v>
      </c>
      <c r="D8" s="17" t="n">
        <v>416.075</v>
      </c>
      <c r="E8" s="18" t="n">
        <v>2496.45</v>
      </c>
      <c r="F8" s="20" t="n">
        <f aca="false">ROUND(C8*1000,0)</f>
        <v>6000</v>
      </c>
      <c r="G8" s="20" t="n">
        <f aca="false">ROUND(D8*10000,0)</f>
        <v>4160750</v>
      </c>
      <c r="H8" s="21" t="n">
        <f aca="false">F8*G8/100000</f>
        <v>249645</v>
      </c>
      <c r="I8" s="20" t="n">
        <f aca="false">ROUND(H8,0)</f>
        <v>249645</v>
      </c>
      <c r="J8" s="22" t="n">
        <f aca="false">I8/100</f>
        <v>2496.45</v>
      </c>
      <c r="K8" s="12" t="str">
        <f aca="false">IF(OR(C8="",D8="",E8=""),"missing value",IF(ROUND(E8*100,0)=I8,"matches","MISMATCH"))</f>
        <v>matches</v>
      </c>
      <c r="L8" s="19" t="s">
        <v>52</v>
      </c>
    </row>
    <row r="9" customFormat="false" ht="15" hidden="false" customHeight="false" outlineLevel="0" collapsed="false">
      <c r="A9" s="11" t="s">
        <v>73</v>
      </c>
      <c r="B9" s="12" t="s">
        <v>71</v>
      </c>
      <c r="C9" s="16" t="n">
        <v>1</v>
      </c>
      <c r="D9" s="17" t="n">
        <v>0.5</v>
      </c>
      <c r="E9" s="18" t="n">
        <v>0.5</v>
      </c>
      <c r="F9" s="20" t="n">
        <f aca="false">ROUND(C9*1000,0)</f>
        <v>1000</v>
      </c>
      <c r="G9" s="20" t="n">
        <f aca="false">ROUND(D9*10000,0)</f>
        <v>5000</v>
      </c>
      <c r="H9" s="21" t="n">
        <f aca="false">F9*G9/100000</f>
        <v>50</v>
      </c>
      <c r="I9" s="20" t="n">
        <f aca="false">ROUND(H9,0)</f>
        <v>50</v>
      </c>
      <c r="J9" s="22" t="n">
        <f aca="false">I9/100</f>
        <v>0.5</v>
      </c>
      <c r="K9" s="12" t="str">
        <f aca="false">IF(OR(C9="",D9="",E9=""),"missing value",IF(ROUND(E9*100,0)=I9,"matches","MISMATCH"))</f>
        <v>matches</v>
      </c>
      <c r="L9" s="19" t="s">
        <v>52</v>
      </c>
    </row>
    <row r="10" customFormat="false" ht="15" hidden="false" customHeight="false" outlineLevel="0" collapsed="false">
      <c r="A10" s="11" t="s">
        <v>77</v>
      </c>
      <c r="B10" s="12" t="s">
        <v>74</v>
      </c>
      <c r="C10" s="16" t="n">
        <v>4</v>
      </c>
      <c r="D10" s="17" t="n">
        <v>91.7875</v>
      </c>
      <c r="E10" s="18" t="n">
        <v>367.15</v>
      </c>
      <c r="F10" s="20" t="n">
        <f aca="false">ROUND(C10*1000,0)</f>
        <v>4000</v>
      </c>
      <c r="G10" s="20" t="n">
        <f aca="false">ROUND(D10*10000,0)</f>
        <v>917875</v>
      </c>
      <c r="H10" s="21" t="n">
        <f aca="false">F10*G10/100000</f>
        <v>36715</v>
      </c>
      <c r="I10" s="20" t="n">
        <f aca="false">ROUND(H10,0)</f>
        <v>36715</v>
      </c>
      <c r="J10" s="22" t="n">
        <f aca="false">I10/100</f>
        <v>367.15</v>
      </c>
      <c r="K10" s="12" t="str">
        <f aca="false">IF(OR(C10="",D10="",E10=""),"missing value",IF(ROUND(E10*100,0)=I10,"matches","MISMATCH"))</f>
        <v>matches</v>
      </c>
      <c r="L10" s="19" t="s">
        <v>78</v>
      </c>
    </row>
    <row r="11" customFormat="false" ht="15" hidden="false" customHeight="false" outlineLevel="0" collapsed="false">
      <c r="A11" s="11" t="s">
        <v>81</v>
      </c>
      <c r="B11" s="12" t="s">
        <v>79</v>
      </c>
      <c r="C11" s="16" t="n">
        <v>2</v>
      </c>
      <c r="D11" s="17" t="n">
        <v>416.075</v>
      </c>
      <c r="E11" s="18" t="n">
        <v>832.15</v>
      </c>
      <c r="F11" s="20" t="n">
        <f aca="false">ROUND(C11*1000,0)</f>
        <v>2000</v>
      </c>
      <c r="G11" s="20" t="n">
        <f aca="false">ROUND(D11*10000,0)</f>
        <v>4160750</v>
      </c>
      <c r="H11" s="21" t="n">
        <f aca="false">F11*G11/100000</f>
        <v>83215</v>
      </c>
      <c r="I11" s="20" t="n">
        <f aca="false">ROUND(H11,0)</f>
        <v>83215</v>
      </c>
      <c r="J11" s="22" t="n">
        <f aca="false">I11/100</f>
        <v>832.15</v>
      </c>
      <c r="K11" s="12" t="str">
        <f aca="false">IF(OR(C11="",D11="",E11=""),"missing value",IF(ROUND(E11*100,0)=I11,"matches","MISMATCH"))</f>
        <v>matches</v>
      </c>
      <c r="L11" s="19" t="s">
        <v>78</v>
      </c>
    </row>
    <row r="12" customFormat="false" ht="15" hidden="false" customHeight="false" outlineLevel="0" collapsed="false">
      <c r="A12" s="11" t="s">
        <v>84</v>
      </c>
      <c r="B12" s="12" t="s">
        <v>82</v>
      </c>
      <c r="C12" s="16" t="n">
        <v>4</v>
      </c>
      <c r="D12" s="17" t="n">
        <v>96.508</v>
      </c>
      <c r="E12" s="18" t="n">
        <v>386.03</v>
      </c>
      <c r="F12" s="20" t="n">
        <f aca="false">ROUND(C12*1000,0)</f>
        <v>4000</v>
      </c>
      <c r="G12" s="20" t="n">
        <f aca="false">ROUND(D12*10000,0)</f>
        <v>965080</v>
      </c>
      <c r="H12" s="21" t="n">
        <f aca="false">F12*G12/100000</f>
        <v>38603.2</v>
      </c>
      <c r="I12" s="20" t="n">
        <f aca="false">ROUND(H12,0)</f>
        <v>38603</v>
      </c>
      <c r="J12" s="22" t="n">
        <f aca="false">I12/100</f>
        <v>386.03</v>
      </c>
      <c r="K12" s="12" t="str">
        <f aca="false">IF(OR(C12="",D12="",E12=""),"missing value",IF(ROUND(E12*100,0)=I12,"matches","MISMATCH"))</f>
        <v>matches</v>
      </c>
      <c r="L12" s="19" t="s">
        <v>85</v>
      </c>
    </row>
    <row r="13" customFormat="false" ht="15" hidden="false" customHeight="false" outlineLevel="0" collapsed="false">
      <c r="A13" s="11" t="s">
        <v>89</v>
      </c>
      <c r="B13" s="12" t="s">
        <v>86</v>
      </c>
      <c r="C13" s="16" t="n">
        <v>4</v>
      </c>
      <c r="D13" s="17" t="n">
        <v>91.7875</v>
      </c>
      <c r="E13" s="18" t="n">
        <v>367.15</v>
      </c>
      <c r="F13" s="20" t="n">
        <f aca="false">ROUND(C13*1000,0)</f>
        <v>4000</v>
      </c>
      <c r="G13" s="20" t="n">
        <f aca="false">ROUND(D13*10000,0)</f>
        <v>917875</v>
      </c>
      <c r="H13" s="21" t="n">
        <f aca="false">F13*G13/100000</f>
        <v>36715</v>
      </c>
      <c r="I13" s="20" t="n">
        <f aca="false">ROUND(H13,0)</f>
        <v>36715</v>
      </c>
      <c r="J13" s="22" t="n">
        <f aca="false">I13/100</f>
        <v>367.15</v>
      </c>
      <c r="K13" s="12" t="str">
        <f aca="false">IF(OR(C13="",D13="",E13=""),"missing value",IF(ROUND(E13*100,0)=I13,"matches","MISMATCH"))</f>
        <v>matches</v>
      </c>
      <c r="L13" s="19" t="s">
        <v>90</v>
      </c>
    </row>
    <row r="14" customFormat="false" ht="15" hidden="false" customHeight="false" outlineLevel="0" collapsed="false">
      <c r="A14" s="11" t="s">
        <v>93</v>
      </c>
      <c r="B14" s="12" t="s">
        <v>91</v>
      </c>
      <c r="C14" s="16" t="n">
        <v>2</v>
      </c>
      <c r="D14" s="17" t="n">
        <v>91.7875</v>
      </c>
      <c r="E14" s="18" t="n">
        <v>183.58</v>
      </c>
      <c r="F14" s="20" t="n">
        <f aca="false">ROUND(C14*1000,0)</f>
        <v>2000</v>
      </c>
      <c r="G14" s="20" t="n">
        <f aca="false">ROUND(D14*10000,0)</f>
        <v>917875</v>
      </c>
      <c r="H14" s="21" t="n">
        <f aca="false">F14*G14/100000</f>
        <v>18357.5</v>
      </c>
      <c r="I14" s="20" t="n">
        <f aca="false">ROUND(H14,0)</f>
        <v>18358</v>
      </c>
      <c r="J14" s="22" t="n">
        <f aca="false">I14/100</f>
        <v>183.58</v>
      </c>
      <c r="K14" s="12" t="str">
        <f aca="false">IF(OR(C14="",D14="",E14=""),"missing value",IF(ROUND(E14*100,0)=I14,"matches","MISMATCH"))</f>
        <v>matches</v>
      </c>
      <c r="L14" s="19" t="s">
        <v>90</v>
      </c>
    </row>
    <row r="15" customFormat="false" ht="15" hidden="false" customHeight="false" outlineLevel="0" collapsed="false">
      <c r="A15" s="11" t="s">
        <v>96</v>
      </c>
      <c r="B15" s="12" t="s">
        <v>94</v>
      </c>
      <c r="C15" s="16" t="n">
        <v>2</v>
      </c>
      <c r="D15" s="17" t="n">
        <v>416.075</v>
      </c>
      <c r="E15" s="18"/>
      <c r="F15" s="20" t="n">
        <f aca="false">ROUND(C15*1000,0)</f>
        <v>2000</v>
      </c>
      <c r="G15" s="20" t="n">
        <f aca="false">ROUND(D15*10000,0)</f>
        <v>4160750</v>
      </c>
      <c r="H15" s="21" t="n">
        <f aca="false">F15*G15/100000</f>
        <v>83215</v>
      </c>
      <c r="I15" s="20" t="n">
        <f aca="false">ROUND(H15,0)</f>
        <v>83215</v>
      </c>
      <c r="J15" s="22" t="n">
        <f aca="false">I15/100</f>
        <v>832.15</v>
      </c>
      <c r="K15" s="12" t="str">
        <f aca="false">IF(OR(C15="",D15="",E15=""),"missing value",IF(ROUND(E15*100,0)=I15,"matches","MISMATCH"))</f>
        <v>missing value</v>
      </c>
      <c r="L15" s="19" t="s">
        <v>90</v>
      </c>
    </row>
    <row r="16" customFormat="false" ht="15" hidden="false" customHeight="false" outlineLevel="0" collapsed="false">
      <c r="A16" s="11" t="s">
        <v>99</v>
      </c>
      <c r="B16" s="12" t="s">
        <v>97</v>
      </c>
      <c r="C16" s="16" t="n">
        <v>10</v>
      </c>
      <c r="D16" s="17" t="n">
        <v>0.465</v>
      </c>
      <c r="E16" s="18" t="n">
        <v>4.65</v>
      </c>
      <c r="F16" s="20" t="n">
        <f aca="false">ROUND(C16*1000,0)</f>
        <v>10000</v>
      </c>
      <c r="G16" s="20" t="n">
        <f aca="false">ROUND(D16*10000,0)</f>
        <v>4650</v>
      </c>
      <c r="H16" s="21" t="n">
        <f aca="false">F16*G16/100000</f>
        <v>465</v>
      </c>
      <c r="I16" s="20" t="n">
        <f aca="false">ROUND(H16,0)</f>
        <v>465</v>
      </c>
      <c r="J16" s="22" t="n">
        <f aca="false">I16/100</f>
        <v>4.65</v>
      </c>
      <c r="K16" s="12" t="str">
        <f aca="false">IF(OR(C16="",D16="",E16=""),"missing value",IF(ROUND(E16*100,0)=I16,"matches","MISMATCH"))</f>
        <v>matches</v>
      </c>
      <c r="L16" s="19" t="s">
        <v>90</v>
      </c>
    </row>
    <row r="17" customFormat="false" ht="15" hidden="false" customHeight="false" outlineLevel="0" collapsed="false">
      <c r="A17" s="11" t="s">
        <v>102</v>
      </c>
      <c r="B17" s="12" t="s">
        <v>100</v>
      </c>
      <c r="C17" s="16" t="n">
        <v>4</v>
      </c>
      <c r="D17" s="17" t="n">
        <v>91.7875</v>
      </c>
      <c r="E17" s="18" t="n">
        <v>367.15</v>
      </c>
      <c r="F17" s="20" t="n">
        <f aca="false">ROUND(C17*1000,0)</f>
        <v>4000</v>
      </c>
      <c r="G17" s="20" t="n">
        <f aca="false">ROUND(D17*10000,0)</f>
        <v>917875</v>
      </c>
      <c r="H17" s="21" t="n">
        <f aca="false">F17*G17/100000</f>
        <v>36715</v>
      </c>
      <c r="I17" s="20" t="n">
        <f aca="false">ROUND(H17,0)</f>
        <v>36715</v>
      </c>
      <c r="J17" s="22" t="n">
        <f aca="false">I17/100</f>
        <v>367.15</v>
      </c>
      <c r="K17" s="12" t="str">
        <f aca="false">IF(OR(C17="",D17="",E17=""),"missing value",IF(ROUND(E17*100,0)=I17,"matches","MISMATCH"))</f>
        <v>matches</v>
      </c>
      <c r="L17" s="19" t="s">
        <v>90</v>
      </c>
    </row>
    <row r="18" customFormat="false" ht="15" hidden="false" customHeight="false" outlineLevel="0" collapsed="false">
      <c r="A18" s="11" t="s">
        <v>307</v>
      </c>
      <c r="B18" s="12" t="s">
        <v>103</v>
      </c>
      <c r="C18" s="16" t="n">
        <v>2</v>
      </c>
      <c r="D18" s="17" t="n">
        <v>96.508</v>
      </c>
      <c r="E18" s="18" t="n">
        <v>193.02</v>
      </c>
      <c r="F18" s="20" t="n">
        <f aca="false">ROUND(C18*1000,0)</f>
        <v>2000</v>
      </c>
      <c r="G18" s="20" t="n">
        <f aca="false">ROUND(D18*10000,0)</f>
        <v>965080</v>
      </c>
      <c r="H18" s="21" t="n">
        <f aca="false">F18*G18/100000</f>
        <v>19301.6</v>
      </c>
      <c r="I18" s="20" t="n">
        <f aca="false">ROUND(H18,0)</f>
        <v>19302</v>
      </c>
      <c r="J18" s="22" t="n">
        <f aca="false">I18/100</f>
        <v>193.02</v>
      </c>
      <c r="K18" s="12" t="str">
        <f aca="false">IF(OR(C18="",D18="",E18=""),"missing value",IF(ROUND(E18*100,0)=I18,"matches","MISMATCH"))</f>
        <v>matches</v>
      </c>
      <c r="L18" s="19" t="s">
        <v>52</v>
      </c>
    </row>
    <row r="19" customFormat="false" ht="15" hidden="false" customHeight="false" outlineLevel="0" collapsed="false">
      <c r="A19" s="11" t="s">
        <v>310</v>
      </c>
      <c r="B19" s="12" t="s">
        <v>108</v>
      </c>
      <c r="C19" s="16" t="n">
        <v>20</v>
      </c>
      <c r="D19" s="17" t="n">
        <v>0.465</v>
      </c>
      <c r="E19" s="18" t="n">
        <v>9.3</v>
      </c>
      <c r="F19" s="20" t="n">
        <f aca="false">ROUND(C19*1000,0)</f>
        <v>20000</v>
      </c>
      <c r="G19" s="20" t="n">
        <f aca="false">ROUND(D19*10000,0)</f>
        <v>4650</v>
      </c>
      <c r="H19" s="21" t="n">
        <f aca="false">F19*G19/100000</f>
        <v>930</v>
      </c>
      <c r="I19" s="20" t="n">
        <f aca="false">ROUND(H19,0)</f>
        <v>930</v>
      </c>
      <c r="J19" s="22" t="n">
        <f aca="false">I19/100</f>
        <v>9.3</v>
      </c>
      <c r="K19" s="12" t="str">
        <f aca="false">IF(OR(C19="",D19="",E19=""),"missing value",IF(ROUND(E19*100,0)=I19,"matches","MISMATCH"))</f>
        <v>matches</v>
      </c>
      <c r="L19" s="19" t="s">
        <v>52</v>
      </c>
    </row>
    <row r="20" customFormat="false" ht="15" hidden="false" customHeight="false" outlineLevel="0" collapsed="false">
      <c r="A20" s="11" t="s">
        <v>312</v>
      </c>
      <c r="B20" s="12" t="s">
        <v>112</v>
      </c>
      <c r="C20" s="16" t="n">
        <v>4</v>
      </c>
      <c r="D20" s="17" t="n">
        <v>91.7875</v>
      </c>
      <c r="E20" s="18" t="n">
        <v>367.15</v>
      </c>
      <c r="F20" s="20" t="n">
        <f aca="false">ROUND(C20*1000,0)</f>
        <v>4000</v>
      </c>
      <c r="G20" s="20" t="n">
        <f aca="false">ROUND(D20*10000,0)</f>
        <v>917875</v>
      </c>
      <c r="H20" s="21" t="n">
        <f aca="false">F20*G20/100000</f>
        <v>36715</v>
      </c>
      <c r="I20" s="20" t="n">
        <f aca="false">ROUND(H20,0)</f>
        <v>36715</v>
      </c>
      <c r="J20" s="22" t="n">
        <f aca="false">I20/100</f>
        <v>367.15</v>
      </c>
      <c r="K20" s="12" t="str">
        <f aca="false">IF(OR(C20="",D20="",E20=""),"missing value",IF(ROUND(E20*100,0)=I20,"matches","MISMATCH"))</f>
        <v>matches</v>
      </c>
      <c r="L20" s="19" t="s">
        <v>425</v>
      </c>
    </row>
    <row r="21" customFormat="false" ht="15" hidden="false" customHeight="false" outlineLevel="0" collapsed="false">
      <c r="A21" s="11" t="s">
        <v>316</v>
      </c>
      <c r="B21" s="12" t="s">
        <v>116</v>
      </c>
      <c r="C21" s="16" t="n">
        <v>2</v>
      </c>
      <c r="D21" s="17" t="n">
        <v>430.76</v>
      </c>
      <c r="E21" s="18" t="n">
        <v>861.52</v>
      </c>
      <c r="F21" s="20" t="n">
        <f aca="false">ROUND(C21*1000,0)</f>
        <v>2000</v>
      </c>
      <c r="G21" s="20" t="n">
        <f aca="false">ROUND(D21*10000,0)</f>
        <v>4307600</v>
      </c>
      <c r="H21" s="21" t="n">
        <f aca="false">F21*G21/100000</f>
        <v>86152</v>
      </c>
      <c r="I21" s="20" t="n">
        <f aca="false">ROUND(H21,0)</f>
        <v>86152</v>
      </c>
      <c r="J21" s="22" t="n">
        <f aca="false">I21/100</f>
        <v>861.52</v>
      </c>
      <c r="K21" s="12" t="str">
        <f aca="false">IF(OR(C21="",D21="",E21=""),"missing value",IF(ROUND(E21*100,0)=I21,"matches","MISMATCH"))</f>
        <v>matches</v>
      </c>
      <c r="L21" s="19" t="s">
        <v>425</v>
      </c>
    </row>
    <row r="22" customFormat="false" ht="15" hidden="false" customHeight="false" outlineLevel="0" collapsed="false">
      <c r="A22" s="11" t="s">
        <v>318</v>
      </c>
      <c r="B22" s="12" t="s">
        <v>120</v>
      </c>
      <c r="C22" s="16" t="n">
        <v>2</v>
      </c>
      <c r="D22" s="17" t="n">
        <v>430.76</v>
      </c>
      <c r="E22" s="18" t="n">
        <v>861.52</v>
      </c>
      <c r="F22" s="20" t="n">
        <f aca="false">ROUND(C22*1000,0)</f>
        <v>2000</v>
      </c>
      <c r="G22" s="20" t="n">
        <f aca="false">ROUND(D22*10000,0)</f>
        <v>4307600</v>
      </c>
      <c r="H22" s="21" t="n">
        <f aca="false">F22*G22/100000</f>
        <v>86152</v>
      </c>
      <c r="I22" s="20" t="n">
        <f aca="false">ROUND(H22,0)</f>
        <v>86152</v>
      </c>
      <c r="J22" s="22" t="n">
        <f aca="false">I22/100</f>
        <v>861.52</v>
      </c>
      <c r="K22" s="12" t="str">
        <f aca="false">IF(OR(C22="",D22="",E22=""),"missing value",IF(ROUND(E22*100,0)=I22,"matches","MISMATCH"))</f>
        <v>matches</v>
      </c>
      <c r="L22" s="19" t="s">
        <v>78</v>
      </c>
    </row>
    <row r="23" customFormat="false" ht="15" hidden="false" customHeight="false" outlineLevel="0" collapsed="false">
      <c r="A23" s="11" t="s">
        <v>321</v>
      </c>
      <c r="B23" s="12" t="s">
        <v>124</v>
      </c>
      <c r="C23" s="16" t="n">
        <v>4</v>
      </c>
      <c r="D23" s="17" t="n">
        <v>91.7875</v>
      </c>
      <c r="E23" s="18" t="n">
        <v>367.15</v>
      </c>
      <c r="F23" s="20" t="n">
        <f aca="false">ROUND(C23*1000,0)</f>
        <v>4000</v>
      </c>
      <c r="G23" s="20" t="n">
        <f aca="false">ROUND(D23*10000,0)</f>
        <v>917875</v>
      </c>
      <c r="H23" s="21" t="n">
        <f aca="false">F23*G23/100000</f>
        <v>36715</v>
      </c>
      <c r="I23" s="20" t="n">
        <f aca="false">ROUND(H23,0)</f>
        <v>36715</v>
      </c>
      <c r="J23" s="22" t="n">
        <f aca="false">I23/100</f>
        <v>367.15</v>
      </c>
      <c r="K23" s="12" t="str">
        <f aca="false">IF(OR(C23="",D23="",E23=""),"missing value",IF(ROUND(E23*100,0)=I23,"matches","MISMATCH"))</f>
        <v>matches</v>
      </c>
      <c r="L23" s="19" t="s">
        <v>144</v>
      </c>
    </row>
    <row r="24" customFormat="false" ht="15" hidden="false" customHeight="false" outlineLevel="0" collapsed="false">
      <c r="A24" s="11" t="s">
        <v>132</v>
      </c>
      <c r="B24" s="12" t="s">
        <v>129</v>
      </c>
      <c r="C24" s="16" t="n">
        <v>4</v>
      </c>
      <c r="D24" s="17" t="n">
        <v>91.7875</v>
      </c>
      <c r="E24" s="18" t="n">
        <v>367.15</v>
      </c>
      <c r="F24" s="20" t="n">
        <f aca="false">ROUND(C24*1000,0)</f>
        <v>4000</v>
      </c>
      <c r="G24" s="20" t="n">
        <f aca="false">ROUND(D24*10000,0)</f>
        <v>917875</v>
      </c>
      <c r="H24" s="21" t="n">
        <f aca="false">F24*G24/100000</f>
        <v>36715</v>
      </c>
      <c r="I24" s="20" t="n">
        <f aca="false">ROUND(H24,0)</f>
        <v>36715</v>
      </c>
      <c r="J24" s="22" t="n">
        <f aca="false">I24/100</f>
        <v>367.15</v>
      </c>
      <c r="K24" s="12" t="str">
        <f aca="false">IF(OR(C24="",D24="",E24=""),"missing value",IF(ROUND(E24*100,0)=I24,"matches","MISMATCH"))</f>
        <v>matches</v>
      </c>
      <c r="L24" s="19" t="s">
        <v>133</v>
      </c>
    </row>
    <row r="25" customFormat="false" ht="15" hidden="false" customHeight="false" outlineLevel="0" collapsed="false">
      <c r="A25" s="11" t="s">
        <v>136</v>
      </c>
      <c r="B25" s="12" t="s">
        <v>134</v>
      </c>
      <c r="C25" s="16" t="n">
        <v>2</v>
      </c>
      <c r="D25" s="17" t="n">
        <v>416.075</v>
      </c>
      <c r="E25" s="18" t="n">
        <v>832.15</v>
      </c>
      <c r="F25" s="20" t="n">
        <f aca="false">ROUND(C25*1000,0)</f>
        <v>2000</v>
      </c>
      <c r="G25" s="20" t="n">
        <f aca="false">ROUND(D25*10000,0)</f>
        <v>4160750</v>
      </c>
      <c r="H25" s="21" t="n">
        <f aca="false">F25*G25/100000</f>
        <v>83215</v>
      </c>
      <c r="I25" s="20" t="n">
        <f aca="false">ROUND(H25,0)</f>
        <v>83215</v>
      </c>
      <c r="J25" s="22" t="n">
        <f aca="false">I25/100</f>
        <v>832.15</v>
      </c>
      <c r="K25" s="12" t="str">
        <f aca="false">IF(OR(C25="",D25="",E25=""),"missing value",IF(ROUND(E25*100,0)=I25,"matches","MISMATCH"))</f>
        <v>matches</v>
      </c>
      <c r="L25" s="19" t="s">
        <v>133</v>
      </c>
    </row>
    <row r="26" customFormat="false" ht="15" hidden="false" customHeight="false" outlineLevel="0" collapsed="false">
      <c r="A26" s="11" t="s">
        <v>139</v>
      </c>
      <c r="B26" s="12" t="s">
        <v>137</v>
      </c>
      <c r="C26" s="16" t="n">
        <v>4</v>
      </c>
      <c r="D26" s="17" t="n">
        <v>96.508</v>
      </c>
      <c r="E26" s="18" t="n">
        <v>386.03</v>
      </c>
      <c r="F26" s="20" t="n">
        <f aca="false">ROUND(C26*1000,0)</f>
        <v>4000</v>
      </c>
      <c r="G26" s="20" t="n">
        <f aca="false">ROUND(D26*10000,0)</f>
        <v>965080</v>
      </c>
      <c r="H26" s="21" t="n">
        <f aca="false">F26*G26/100000</f>
        <v>38603.2</v>
      </c>
      <c r="I26" s="20" t="n">
        <f aca="false">ROUND(H26,0)</f>
        <v>38603</v>
      </c>
      <c r="J26" s="22" t="n">
        <f aca="false">I26/100</f>
        <v>386.03</v>
      </c>
      <c r="K26" s="12" t="str">
        <f aca="false">IF(OR(C26="",D26="",E26=""),"missing value",IF(ROUND(E26*100,0)=I26,"matches","MISMATCH"))</f>
        <v>matches</v>
      </c>
      <c r="L26" s="19" t="s">
        <v>133</v>
      </c>
    </row>
    <row r="27" customFormat="false" ht="15" hidden="false" customHeight="false" outlineLevel="0" collapsed="false">
      <c r="A27" s="11" t="s">
        <v>143</v>
      </c>
      <c r="B27" s="12" t="s">
        <v>140</v>
      </c>
      <c r="C27" s="16" t="n">
        <v>2</v>
      </c>
      <c r="D27" s="17" t="n">
        <v>430.76</v>
      </c>
      <c r="E27" s="18" t="n">
        <v>861.52</v>
      </c>
      <c r="F27" s="20" t="n">
        <f aca="false">ROUND(C27*1000,0)</f>
        <v>2000</v>
      </c>
      <c r="G27" s="20" t="n">
        <f aca="false">ROUND(D27*10000,0)</f>
        <v>4307600</v>
      </c>
      <c r="H27" s="21" t="n">
        <f aca="false">F27*G27/100000</f>
        <v>86152</v>
      </c>
      <c r="I27" s="20" t="n">
        <f aca="false">ROUND(H27,0)</f>
        <v>86152</v>
      </c>
      <c r="J27" s="22" t="n">
        <f aca="false">I27/100</f>
        <v>861.52</v>
      </c>
      <c r="K27" s="12" t="str">
        <f aca="false">IF(OR(C27="",D27="",E27=""),"missing value",IF(ROUND(E27*100,0)=I27,"matches","MISMATCH"))</f>
        <v>matches</v>
      </c>
      <c r="L27" s="19" t="s">
        <v>144</v>
      </c>
    </row>
    <row r="28" customFormat="false" ht="15" hidden="false" customHeight="false" outlineLevel="0" collapsed="false">
      <c r="A28" s="11" t="s">
        <v>147</v>
      </c>
      <c r="B28" s="12" t="s">
        <v>145</v>
      </c>
      <c r="C28" s="16" t="n">
        <v>4</v>
      </c>
      <c r="D28" s="17" t="n">
        <v>421</v>
      </c>
      <c r="E28" s="18" t="n">
        <v>1684</v>
      </c>
      <c r="F28" s="20" t="n">
        <f aca="false">ROUND(C28*1000,0)</f>
        <v>4000</v>
      </c>
      <c r="G28" s="20" t="n">
        <f aca="false">ROUND(D28*10000,0)</f>
        <v>4210000</v>
      </c>
      <c r="H28" s="21" t="n">
        <f aca="false">F28*G28/100000</f>
        <v>168400</v>
      </c>
      <c r="I28" s="20" t="n">
        <f aca="false">ROUND(H28,0)</f>
        <v>168400</v>
      </c>
      <c r="J28" s="22" t="n">
        <f aca="false">I28/100</f>
        <v>1684</v>
      </c>
      <c r="K28" s="12" t="str">
        <f aca="false">IF(OR(C28="",D28="",E28=""),"missing value",IF(ROUND(E28*100,0)=I28,"matches","MISMATCH"))</f>
        <v>matches</v>
      </c>
      <c r="L28" s="19" t="s">
        <v>148</v>
      </c>
    </row>
    <row r="29" customFormat="false" ht="15" hidden="false" customHeight="false" outlineLevel="0" collapsed="false">
      <c r="A29" s="11" t="s">
        <v>151</v>
      </c>
      <c r="B29" s="12" t="s">
        <v>149</v>
      </c>
      <c r="C29" s="16" t="n">
        <v>4</v>
      </c>
      <c r="D29" s="17" t="n">
        <v>91.7875</v>
      </c>
      <c r="E29" s="18" t="n">
        <v>367.15</v>
      </c>
      <c r="F29" s="20" t="n">
        <f aca="false">ROUND(C29*1000,0)</f>
        <v>4000</v>
      </c>
      <c r="G29" s="20" t="n">
        <f aca="false">ROUND(D29*10000,0)</f>
        <v>917875</v>
      </c>
      <c r="H29" s="21" t="n">
        <f aca="false">F29*G29/100000</f>
        <v>36715</v>
      </c>
      <c r="I29" s="20" t="n">
        <f aca="false">ROUND(H29,0)</f>
        <v>36715</v>
      </c>
      <c r="J29" s="22" t="n">
        <f aca="false">I29/100</f>
        <v>367.15</v>
      </c>
      <c r="K29" s="12" t="str">
        <f aca="false">IF(OR(C29="",D29="",E29=""),"missing value",IF(ROUND(E29*100,0)=I29,"matches","MISMATCH"))</f>
        <v>matches</v>
      </c>
      <c r="L29" s="19" t="s">
        <v>144</v>
      </c>
    </row>
    <row r="30" customFormat="false" ht="15" hidden="false" customHeight="false" outlineLevel="0" collapsed="false">
      <c r="A30" s="11" t="s">
        <v>155</v>
      </c>
      <c r="B30" s="12" t="s">
        <v>152</v>
      </c>
      <c r="C30" s="16" t="n">
        <v>4</v>
      </c>
      <c r="D30" s="17" t="n">
        <v>88</v>
      </c>
      <c r="E30" s="18" t="n">
        <v>352</v>
      </c>
      <c r="F30" s="20" t="n">
        <f aca="false">ROUND(C30*1000,0)</f>
        <v>4000</v>
      </c>
      <c r="G30" s="20" t="n">
        <f aca="false">ROUND(D30*10000,0)</f>
        <v>880000</v>
      </c>
      <c r="H30" s="21" t="n">
        <f aca="false">F30*G30/100000</f>
        <v>35200</v>
      </c>
      <c r="I30" s="20" t="n">
        <f aca="false">ROUND(H30,0)</f>
        <v>35200</v>
      </c>
      <c r="J30" s="22" t="n">
        <f aca="false">I30/100</f>
        <v>352</v>
      </c>
      <c r="K30" s="12" t="str">
        <f aca="false">IF(OR(C30="",D30="",E30=""),"missing value",IF(ROUND(E30*100,0)=I30,"matches","MISMATCH"))</f>
        <v>matches</v>
      </c>
      <c r="L30" s="19" t="s">
        <v>156</v>
      </c>
    </row>
    <row r="31" customFormat="false" ht="15" hidden="false" customHeight="false" outlineLevel="0" collapsed="false">
      <c r="A31" s="11" t="s">
        <v>159</v>
      </c>
      <c r="B31" s="12" t="s">
        <v>157</v>
      </c>
      <c r="C31" s="16" t="n">
        <v>2</v>
      </c>
      <c r="D31" s="17" t="n">
        <v>127.88</v>
      </c>
      <c r="E31" s="18" t="n">
        <v>255.76</v>
      </c>
      <c r="F31" s="20" t="n">
        <f aca="false">ROUND(C31*1000,0)</f>
        <v>2000</v>
      </c>
      <c r="G31" s="20" t="n">
        <f aca="false">ROUND(D31*10000,0)</f>
        <v>1278800</v>
      </c>
      <c r="H31" s="21" t="n">
        <f aca="false">F31*G31/100000</f>
        <v>25576</v>
      </c>
      <c r="I31" s="20" t="n">
        <f aca="false">ROUND(H31,0)</f>
        <v>25576</v>
      </c>
      <c r="J31" s="22" t="n">
        <f aca="false">I31/100</f>
        <v>255.76</v>
      </c>
      <c r="K31" s="12" t="str">
        <f aca="false">IF(OR(C31="",D31="",E31=""),"missing value",IF(ROUND(E31*100,0)=I31,"matches","MISMATCH"))</f>
        <v>matches</v>
      </c>
      <c r="L31" s="19" t="s">
        <v>160</v>
      </c>
    </row>
    <row r="32" customFormat="false" ht="15" hidden="false" customHeight="false" outlineLevel="0" collapsed="false">
      <c r="A32" s="11" t="s">
        <v>163</v>
      </c>
      <c r="B32" s="12" t="s">
        <v>161</v>
      </c>
      <c r="C32" s="16" t="n">
        <v>4</v>
      </c>
      <c r="D32" s="17" t="n">
        <v>88</v>
      </c>
      <c r="E32" s="18" t="n">
        <v>352</v>
      </c>
      <c r="F32" s="20" t="n">
        <f aca="false">ROUND(C32*1000,0)</f>
        <v>4000</v>
      </c>
      <c r="G32" s="20" t="n">
        <f aca="false">ROUND(D32*10000,0)</f>
        <v>880000</v>
      </c>
      <c r="H32" s="21" t="n">
        <f aca="false">F32*G32/100000</f>
        <v>35200</v>
      </c>
      <c r="I32" s="20" t="n">
        <f aca="false">ROUND(H32,0)</f>
        <v>35200</v>
      </c>
      <c r="J32" s="22" t="n">
        <f aca="false">I32/100</f>
        <v>352</v>
      </c>
      <c r="K32" s="12" t="str">
        <f aca="false">IF(OR(C32="",D32="",E32=""),"missing value",IF(ROUND(E32*100,0)=I32,"matches","MISMATCH"))</f>
        <v>matches</v>
      </c>
      <c r="L32" s="19" t="s">
        <v>144</v>
      </c>
    </row>
    <row r="33" customFormat="false" ht="15" hidden="false" customHeight="false" outlineLevel="0" collapsed="false">
      <c r="A33" s="11" t="s">
        <v>166</v>
      </c>
      <c r="B33" s="12" t="s">
        <v>164</v>
      </c>
      <c r="C33" s="16" t="n">
        <v>4</v>
      </c>
      <c r="D33" s="17" t="n">
        <v>91.7875</v>
      </c>
      <c r="E33" s="18" t="n">
        <v>367.15</v>
      </c>
      <c r="F33" s="20" t="n">
        <f aca="false">ROUND(C33*1000,0)</f>
        <v>4000</v>
      </c>
      <c r="G33" s="20" t="n">
        <f aca="false">ROUND(D33*10000,0)</f>
        <v>917875</v>
      </c>
      <c r="H33" s="21" t="n">
        <f aca="false">F33*G33/100000</f>
        <v>36715</v>
      </c>
      <c r="I33" s="20" t="n">
        <f aca="false">ROUND(H33,0)</f>
        <v>36715</v>
      </c>
      <c r="J33" s="22" t="n">
        <f aca="false">I33/100</f>
        <v>367.15</v>
      </c>
      <c r="K33" s="12" t="str">
        <f aca="false">IF(OR(C33="",D33="",E33=""),"missing value",IF(ROUND(E33*100,0)=I33,"matches","MISMATCH"))</f>
        <v>matches</v>
      </c>
      <c r="L33" s="19" t="s">
        <v>133</v>
      </c>
    </row>
    <row r="34" customFormat="false" ht="15" hidden="false" customHeight="false" outlineLevel="0" collapsed="false">
      <c r="A34" s="11" t="s">
        <v>170</v>
      </c>
      <c r="B34" s="12" t="s">
        <v>167</v>
      </c>
      <c r="C34" s="16" t="n">
        <v>-2</v>
      </c>
      <c r="D34" s="17" t="n">
        <v>91.79</v>
      </c>
      <c r="E34" s="18" t="n">
        <v>183.58</v>
      </c>
      <c r="F34" s="20" t="n">
        <f aca="false">ROUND(C34*1000,0)</f>
        <v>-2000</v>
      </c>
      <c r="G34" s="20" t="n">
        <f aca="false">ROUND(D34*10000,0)</f>
        <v>917900</v>
      </c>
      <c r="H34" s="21" t="n">
        <f aca="false">F34*G34/100000</f>
        <v>-18358</v>
      </c>
      <c r="I34" s="20" t="n">
        <f aca="false">ROUND(H34,0)</f>
        <v>-18358</v>
      </c>
      <c r="J34" s="22" t="n">
        <f aca="false">I34/100</f>
        <v>-183.58</v>
      </c>
      <c r="K34" s="12" t="str">
        <f aca="false">IF(OR(C34="",D34="",E34=""),"missing value",IF(ROUND(E34*100,0)=I34,"matches","MISMATCH"))</f>
        <v>MISMATCH</v>
      </c>
      <c r="L34" s="19" t="s">
        <v>171</v>
      </c>
    </row>
    <row r="35" customFormat="false" ht="15" hidden="false" customHeight="false" outlineLevel="0" collapsed="false">
      <c r="A35" s="11" t="s">
        <v>174</v>
      </c>
      <c r="B35" s="12" t="s">
        <v>172</v>
      </c>
      <c r="C35" s="16" t="n">
        <v>4</v>
      </c>
      <c r="D35" s="17" t="n">
        <v>91.7875</v>
      </c>
      <c r="E35" s="18" t="n">
        <v>3671.5</v>
      </c>
      <c r="F35" s="20" t="n">
        <f aca="false">ROUND(C35*1000,0)</f>
        <v>4000</v>
      </c>
      <c r="G35" s="20" t="n">
        <f aca="false">ROUND(D35*10000,0)</f>
        <v>917875</v>
      </c>
      <c r="H35" s="21" t="n">
        <f aca="false">F35*G35/100000</f>
        <v>36715</v>
      </c>
      <c r="I35" s="20" t="n">
        <f aca="false">ROUND(H35,0)</f>
        <v>36715</v>
      </c>
      <c r="J35" s="22" t="n">
        <f aca="false">I35/100</f>
        <v>367.15</v>
      </c>
      <c r="K35" s="12" t="str">
        <f aca="false">IF(OR(C35="",D35="",E35=""),"missing value",IF(ROUND(E35*100,0)=I35,"matches","MISMATCH"))</f>
        <v>MISMATCH</v>
      </c>
      <c r="L35" s="19" t="s">
        <v>171</v>
      </c>
    </row>
    <row r="36" customFormat="false" ht="15" hidden="false" customHeight="false" outlineLevel="0" collapsed="false">
      <c r="A36" s="11" t="s">
        <v>177</v>
      </c>
      <c r="B36" s="12" t="s">
        <v>175</v>
      </c>
      <c r="C36" s="16" t="n">
        <v>2</v>
      </c>
      <c r="D36" s="17" t="n">
        <v>88</v>
      </c>
      <c r="E36" s="18" t="n">
        <v>1760</v>
      </c>
      <c r="F36" s="20" t="n">
        <f aca="false">ROUND(C36*1000,0)</f>
        <v>2000</v>
      </c>
      <c r="G36" s="20" t="n">
        <f aca="false">ROUND(D36*10000,0)</f>
        <v>880000</v>
      </c>
      <c r="H36" s="21" t="n">
        <f aca="false">F36*G36/100000</f>
        <v>17600</v>
      </c>
      <c r="I36" s="20" t="n">
        <f aca="false">ROUND(H36,0)</f>
        <v>17600</v>
      </c>
      <c r="J36" s="22" t="n">
        <f aca="false">I36/100</f>
        <v>176</v>
      </c>
      <c r="K36" s="12" t="str">
        <f aca="false">IF(OR(C36="",D36="",E36=""),"missing value",IF(ROUND(E36*100,0)=I36,"matches","MISMATCH"))</f>
        <v>MISMATCH</v>
      </c>
      <c r="L36" s="19" t="s">
        <v>156</v>
      </c>
    </row>
    <row r="37" customFormat="false" ht="15" hidden="false" customHeight="false" outlineLevel="0" collapsed="false">
      <c r="A37" s="11" t="s">
        <v>181</v>
      </c>
      <c r="B37" s="12" t="s">
        <v>178</v>
      </c>
      <c r="C37" s="16" t="n">
        <v>1.5</v>
      </c>
      <c r="D37" s="17" t="n">
        <v>29.99</v>
      </c>
      <c r="E37" s="18" t="n">
        <v>44.99</v>
      </c>
      <c r="F37" s="20" t="n">
        <f aca="false">ROUND(C37*1000,0)</f>
        <v>1500</v>
      </c>
      <c r="G37" s="20" t="n">
        <f aca="false">ROUND(D37*10000,0)</f>
        <v>299900</v>
      </c>
      <c r="H37" s="21" t="n">
        <f aca="false">F37*G37/100000</f>
        <v>4498.5</v>
      </c>
      <c r="I37" s="20" t="n">
        <f aca="false">ROUND(H37,0)</f>
        <v>4499</v>
      </c>
      <c r="J37" s="22" t="n">
        <f aca="false">I37/100</f>
        <v>44.99</v>
      </c>
      <c r="K37" s="12" t="str">
        <f aca="false">IF(OR(C37="",D37="",E37=""),"missing value",IF(ROUND(E37*100,0)=I37,"matches","MISMATCH"))</f>
        <v>matches</v>
      </c>
      <c r="L37" s="19" t="s">
        <v>52</v>
      </c>
    </row>
    <row r="38" customFormat="false" ht="15" hidden="false" customHeight="false" outlineLevel="0" collapsed="false">
      <c r="A38" s="11" t="s">
        <v>185</v>
      </c>
      <c r="B38" s="12" t="s">
        <v>183</v>
      </c>
      <c r="C38" s="16" t="n">
        <v>2</v>
      </c>
      <c r="D38" s="17" t="n">
        <v>91.7875</v>
      </c>
      <c r="E38" s="18" t="n">
        <v>183.58</v>
      </c>
      <c r="F38" s="20" t="n">
        <f aca="false">ROUND(C38*1000,0)</f>
        <v>2000</v>
      </c>
      <c r="G38" s="20" t="n">
        <f aca="false">ROUND(D38*10000,0)</f>
        <v>917875</v>
      </c>
      <c r="H38" s="21" t="n">
        <f aca="false">F38*G38/100000</f>
        <v>18357.5</v>
      </c>
      <c r="I38" s="20" t="n">
        <f aca="false">ROUND(H38,0)</f>
        <v>18358</v>
      </c>
      <c r="J38" s="22" t="n">
        <f aca="false">I38/100</f>
        <v>183.58</v>
      </c>
      <c r="K38" s="12" t="str">
        <f aca="false">IF(OR(C38="",D38="",E38=""),"missing value",IF(ROUND(E38*100,0)=I38,"matches","MISMATCH"))</f>
        <v>matches</v>
      </c>
      <c r="L38" s="19" t="s">
        <v>52</v>
      </c>
    </row>
    <row r="39" customFormat="false" ht="15" hidden="false" customHeight="false" outlineLevel="0" collapsed="false">
      <c r="A39" s="11" t="s">
        <v>189</v>
      </c>
      <c r="B39" s="12" t="s">
        <v>187</v>
      </c>
      <c r="C39" s="16" t="n">
        <v>4</v>
      </c>
      <c r="D39" s="17" t="n">
        <v>441</v>
      </c>
      <c r="E39" s="18" t="n">
        <v>1764</v>
      </c>
      <c r="F39" s="20" t="n">
        <f aca="false">ROUND(C39*1000,0)</f>
        <v>4000</v>
      </c>
      <c r="G39" s="20" t="n">
        <f aca="false">ROUND(D39*10000,0)</f>
        <v>4410000</v>
      </c>
      <c r="H39" s="21" t="n">
        <f aca="false">F39*G39/100000</f>
        <v>176400</v>
      </c>
      <c r="I39" s="20" t="n">
        <f aca="false">ROUND(H39,0)</f>
        <v>176400</v>
      </c>
      <c r="J39" s="22" t="n">
        <f aca="false">I39/100</f>
        <v>1764</v>
      </c>
      <c r="K39" s="12" t="str">
        <f aca="false">IF(OR(C39="",D39="",E39=""),"missing value",IF(ROUND(E39*100,0)=I39,"matches","MISMATCH"))</f>
        <v>matches</v>
      </c>
      <c r="L39" s="19" t="s">
        <v>52</v>
      </c>
    </row>
    <row r="40" customFormat="false" ht="15" hidden="false" customHeight="false" outlineLevel="0" collapsed="false">
      <c r="A40" s="11" t="s">
        <v>192</v>
      </c>
      <c r="B40" s="12" t="s">
        <v>190</v>
      </c>
      <c r="C40" s="16" t="n">
        <v>4</v>
      </c>
      <c r="D40" s="17" t="n">
        <v>93.361</v>
      </c>
      <c r="E40" s="18" t="n">
        <v>373.44</v>
      </c>
      <c r="F40" s="20" t="n">
        <f aca="false">ROUND(C40*1000,0)</f>
        <v>4000</v>
      </c>
      <c r="G40" s="20" t="n">
        <f aca="false">ROUND(D40*10000,0)</f>
        <v>933610</v>
      </c>
      <c r="H40" s="21" t="n">
        <f aca="false">F40*G40/100000</f>
        <v>37344.4</v>
      </c>
      <c r="I40" s="20" t="n">
        <f aca="false">ROUND(H40,0)</f>
        <v>37344</v>
      </c>
      <c r="J40" s="22" t="n">
        <f aca="false">I40/100</f>
        <v>373.44</v>
      </c>
      <c r="K40" s="12" t="str">
        <f aca="false">IF(OR(C40="",D40="",E40=""),"missing value",IF(ROUND(E40*100,0)=I40,"matches","MISMATCH"))</f>
        <v>matches</v>
      </c>
      <c r="L40" s="19" t="s">
        <v>52</v>
      </c>
    </row>
    <row r="41" customFormat="false" ht="15" hidden="false" customHeight="false" outlineLevel="0" collapsed="false">
      <c r="A41" s="11" t="s">
        <v>196</v>
      </c>
      <c r="B41" s="12" t="s">
        <v>194</v>
      </c>
      <c r="C41" s="16" t="n">
        <v>-2</v>
      </c>
      <c r="D41" s="17" t="n">
        <v>416.075</v>
      </c>
      <c r="E41" s="18" t="n">
        <v>-832.15</v>
      </c>
      <c r="F41" s="20" t="n">
        <f aca="false">ROUND(C41*1000,0)</f>
        <v>-2000</v>
      </c>
      <c r="G41" s="20" t="n">
        <f aca="false">ROUND(D41*10000,0)</f>
        <v>4160750</v>
      </c>
      <c r="H41" s="21" t="n">
        <f aca="false">F41*G41/100000</f>
        <v>-83215</v>
      </c>
      <c r="I41" s="20" t="n">
        <f aca="false">ROUND(H41,0)</f>
        <v>-83215</v>
      </c>
      <c r="J41" s="22" t="n">
        <f aca="false">I41/100</f>
        <v>-832.15</v>
      </c>
      <c r="K41" s="12" t="str">
        <f aca="false">IF(OR(C41="",D41="",E41=""),"missing value",IF(ROUND(E41*100,0)=I41,"matches","MISMATCH"))</f>
        <v>matches</v>
      </c>
      <c r="L41" s="19" t="s">
        <v>52</v>
      </c>
    </row>
    <row r="42" customFormat="false" ht="15" hidden="false" customHeight="false" outlineLevel="0" collapsed="false">
      <c r="A42" s="11" t="s">
        <v>199</v>
      </c>
      <c r="B42" s="12" t="s">
        <v>197</v>
      </c>
      <c r="C42" s="16" t="n">
        <v>-1</v>
      </c>
      <c r="D42" s="17" t="n">
        <v>441</v>
      </c>
      <c r="E42" s="18" t="n">
        <v>-441</v>
      </c>
      <c r="F42" s="20" t="n">
        <f aca="false">ROUND(C42*1000,0)</f>
        <v>-1000</v>
      </c>
      <c r="G42" s="20" t="n">
        <f aca="false">ROUND(D42*10000,0)</f>
        <v>4410000</v>
      </c>
      <c r="H42" s="21" t="n">
        <f aca="false">F42*G42/100000</f>
        <v>-44100</v>
      </c>
      <c r="I42" s="20" t="n">
        <f aca="false">ROUND(H42,0)</f>
        <v>-44100</v>
      </c>
      <c r="J42" s="22" t="n">
        <f aca="false">I42/100</f>
        <v>-441</v>
      </c>
      <c r="K42" s="12" t="str">
        <f aca="false">IF(OR(C42="",D42="",E42=""),"missing value",IF(ROUND(E42*100,0)=I42,"matches","MISMATCH"))</f>
        <v>matches</v>
      </c>
      <c r="L42" s="19" t="s">
        <v>52</v>
      </c>
    </row>
    <row r="43" customFormat="false" ht="15" hidden="false" customHeight="false" outlineLevel="0" collapsed="false">
      <c r="A43" s="11" t="s">
        <v>202</v>
      </c>
      <c r="B43" s="12" t="s">
        <v>200</v>
      </c>
      <c r="C43" s="16" t="n">
        <v>4</v>
      </c>
      <c r="D43" s="17" t="n">
        <v>91.7875</v>
      </c>
      <c r="E43" s="18" t="n">
        <v>376.15</v>
      </c>
      <c r="F43" s="20" t="n">
        <f aca="false">ROUND(C43*1000,0)</f>
        <v>4000</v>
      </c>
      <c r="G43" s="20" t="n">
        <f aca="false">ROUND(D43*10000,0)</f>
        <v>917875</v>
      </c>
      <c r="H43" s="21" t="n">
        <f aca="false">F43*G43/100000</f>
        <v>36715</v>
      </c>
      <c r="I43" s="20" t="n">
        <f aca="false">ROUND(H43,0)</f>
        <v>36715</v>
      </c>
      <c r="J43" s="22" t="n">
        <f aca="false">I43/100</f>
        <v>367.15</v>
      </c>
      <c r="K43" s="12" t="str">
        <f aca="false">IF(OR(C43="",D43="",E43=""),"missing value",IF(ROUND(E43*100,0)=I43,"matches","MISMATCH"))</f>
        <v>MISMATCH</v>
      </c>
      <c r="L43" s="19" t="s">
        <v>171</v>
      </c>
    </row>
    <row r="44" customFormat="false" ht="15" hidden="false" customHeight="false" outlineLevel="0" collapsed="false">
      <c r="A44" s="11" t="s">
        <v>205</v>
      </c>
      <c r="B44" s="12" t="s">
        <v>203</v>
      </c>
      <c r="C44" s="16" t="n">
        <v>2</v>
      </c>
      <c r="D44" s="17" t="n">
        <v>1082.6196</v>
      </c>
      <c r="E44" s="18" t="n">
        <v>2165.24</v>
      </c>
      <c r="F44" s="20" t="n">
        <f aca="false">ROUND(C44*1000,0)</f>
        <v>2000</v>
      </c>
      <c r="G44" s="20" t="n">
        <f aca="false">ROUND(D44*10000,0)</f>
        <v>10826196</v>
      </c>
      <c r="H44" s="21" t="n">
        <f aca="false">F44*G44/100000</f>
        <v>216523.92</v>
      </c>
      <c r="I44" s="20" t="n">
        <f aca="false">ROUND(H44,0)</f>
        <v>216524</v>
      </c>
      <c r="J44" s="22" t="n">
        <f aca="false">I44/100</f>
        <v>2165.24</v>
      </c>
      <c r="K44" s="12" t="str">
        <f aca="false">IF(OR(C44="",D44="",E44=""),"missing value",IF(ROUND(E44*100,0)=I44,"matches","MISMATCH"))</f>
        <v>matches</v>
      </c>
      <c r="L44" s="19" t="s">
        <v>52</v>
      </c>
    </row>
    <row r="45" customFormat="false" ht="15" hidden="false" customHeight="false" outlineLevel="0" collapsed="false">
      <c r="A45" s="11" t="s">
        <v>208</v>
      </c>
      <c r="B45" s="12" t="s">
        <v>206</v>
      </c>
      <c r="C45" s="16" t="n">
        <v>50</v>
      </c>
      <c r="D45" s="17" t="n">
        <v>0.735</v>
      </c>
      <c r="E45" s="18" t="n">
        <v>36.75</v>
      </c>
      <c r="F45" s="20" t="n">
        <f aca="false">ROUND(C45*1000,0)</f>
        <v>50000</v>
      </c>
      <c r="G45" s="20" t="n">
        <f aca="false">ROUND(D45*10000,0)</f>
        <v>7350</v>
      </c>
      <c r="H45" s="21" t="n">
        <f aca="false">F45*G45/100000</f>
        <v>3675</v>
      </c>
      <c r="I45" s="20" t="n">
        <f aca="false">ROUND(H45,0)</f>
        <v>3675</v>
      </c>
      <c r="J45" s="22" t="n">
        <f aca="false">I45/100</f>
        <v>36.75</v>
      </c>
      <c r="K45" s="12" t="str">
        <f aca="false">IF(OR(C45="",D45="",E45=""),"missing value",IF(ROUND(E45*100,0)=I45,"matches","MISMATCH"))</f>
        <v>matches</v>
      </c>
      <c r="L45" s="19" t="s">
        <v>52</v>
      </c>
    </row>
    <row r="46" customFormat="false" ht="15" hidden="false" customHeight="false" outlineLevel="0" collapsed="false">
      <c r="A46" s="11" t="s">
        <v>211</v>
      </c>
      <c r="B46" s="12" t="s">
        <v>209</v>
      </c>
      <c r="C46" s="16" t="n">
        <v>10</v>
      </c>
      <c r="D46" s="17" t="n">
        <v>451.07</v>
      </c>
      <c r="E46" s="18" t="n">
        <v>4510.7</v>
      </c>
      <c r="F46" s="20" t="n">
        <f aca="false">ROUND(C46*1000,0)</f>
        <v>10000</v>
      </c>
      <c r="G46" s="20" t="n">
        <f aca="false">ROUND(D46*10000,0)</f>
        <v>4510700</v>
      </c>
      <c r="H46" s="21" t="n">
        <f aca="false">F46*G46/100000</f>
        <v>451070</v>
      </c>
      <c r="I46" s="20" t="n">
        <f aca="false">ROUND(H46,0)</f>
        <v>451070</v>
      </c>
      <c r="J46" s="22" t="n">
        <f aca="false">I46/100</f>
        <v>4510.7</v>
      </c>
      <c r="K46" s="12" t="str">
        <f aca="false">IF(OR(C46="",D46="",E46=""),"missing value",IF(ROUND(E46*100,0)=I46,"matches","MISMATCH"))</f>
        <v>matches</v>
      </c>
      <c r="L46" s="19" t="s">
        <v>52</v>
      </c>
    </row>
    <row r="47" customFormat="false" ht="15" hidden="false" customHeight="false" outlineLevel="0" collapsed="false">
      <c r="A47" s="11" t="s">
        <v>214</v>
      </c>
      <c r="B47" s="12" t="s">
        <v>212</v>
      </c>
      <c r="C47" s="16" t="n">
        <v>1200</v>
      </c>
      <c r="D47" s="17" t="n">
        <v>68.185</v>
      </c>
      <c r="E47" s="18" t="n">
        <v>81822</v>
      </c>
      <c r="F47" s="20" t="n">
        <f aca="false">ROUND(C47*1000,0)</f>
        <v>1200000</v>
      </c>
      <c r="G47" s="20" t="n">
        <f aca="false">ROUND(D47*10000,0)</f>
        <v>681850</v>
      </c>
      <c r="H47" s="21" t="n">
        <f aca="false">F47*G47/100000</f>
        <v>8182200</v>
      </c>
      <c r="I47" s="20" t="n">
        <f aca="false">ROUND(H47,0)</f>
        <v>8182200</v>
      </c>
      <c r="J47" s="22" t="n">
        <f aca="false">I47/100</f>
        <v>81822</v>
      </c>
      <c r="K47" s="12" t="str">
        <f aca="false">IF(OR(C47="",D47="",E47=""),"missing value",IF(ROUND(E47*100,0)=I47,"matches","MISMATCH"))</f>
        <v>matches</v>
      </c>
      <c r="L47" s="19" t="s">
        <v>52</v>
      </c>
    </row>
    <row r="48" customFormat="false" ht="15" hidden="false" customHeight="false" outlineLevel="0" collapsed="false">
      <c r="A48" s="11" t="s">
        <v>217</v>
      </c>
      <c r="B48" s="12" t="s">
        <v>215</v>
      </c>
      <c r="C48" s="16" t="n">
        <v>0.333</v>
      </c>
      <c r="D48" s="17" t="n">
        <v>29.99</v>
      </c>
      <c r="E48" s="18" t="n">
        <v>9.99</v>
      </c>
      <c r="F48" s="20" t="n">
        <f aca="false">ROUND(C48*1000,0)</f>
        <v>333</v>
      </c>
      <c r="G48" s="20" t="n">
        <f aca="false">ROUND(D48*10000,0)</f>
        <v>299900</v>
      </c>
      <c r="H48" s="21" t="n">
        <f aca="false">F48*G48/100000</f>
        <v>998.667</v>
      </c>
      <c r="I48" s="20" t="n">
        <f aca="false">ROUND(H48,0)</f>
        <v>999</v>
      </c>
      <c r="J48" s="22" t="n">
        <f aca="false">I48/100</f>
        <v>9.99</v>
      </c>
      <c r="K48" s="12" t="str">
        <f aca="false">IF(OR(C48="",D48="",E48=""),"missing value",IF(ROUND(E48*100,0)=I48,"matches","MISMATCH"))</f>
        <v>matches</v>
      </c>
      <c r="L48" s="19" t="s">
        <v>52</v>
      </c>
    </row>
    <row r="49" customFormat="false" ht="15" hidden="false" customHeight="false" outlineLevel="0" collapsed="false">
      <c r="A49" s="11" t="s">
        <v>220</v>
      </c>
      <c r="B49" s="12" t="s">
        <v>218</v>
      </c>
      <c r="C49" s="16" t="n">
        <v>2</v>
      </c>
      <c r="D49" s="17" t="n">
        <v>416.075</v>
      </c>
      <c r="E49" s="18" t="n">
        <v>832.15</v>
      </c>
      <c r="F49" s="20" t="n">
        <f aca="false">ROUND(C49*1000,0)</f>
        <v>2000</v>
      </c>
      <c r="G49" s="20" t="n">
        <f aca="false">ROUND(D49*10000,0)</f>
        <v>4160750</v>
      </c>
      <c r="H49" s="21" t="n">
        <f aca="false">F49*G49/100000</f>
        <v>83215</v>
      </c>
      <c r="I49" s="20" t="n">
        <f aca="false">ROUND(H49,0)</f>
        <v>83215</v>
      </c>
      <c r="J49" s="22" t="n">
        <f aca="false">I49/100</f>
        <v>832.15</v>
      </c>
      <c r="K49" s="12" t="str">
        <f aca="false">IF(OR(C49="",D49="",E49=""),"missing value",IF(ROUND(E49*100,0)=I49,"matches","MISMATCH"))</f>
        <v>matches</v>
      </c>
      <c r="L49" s="19" t="s">
        <v>78</v>
      </c>
    </row>
    <row r="50" customFormat="false" ht="15" hidden="false" customHeight="false" outlineLevel="0" collapsed="false">
      <c r="A50" s="11" t="s">
        <v>393</v>
      </c>
      <c r="B50" s="12" t="s">
        <v>103</v>
      </c>
      <c r="C50" s="16" t="n">
        <v>2</v>
      </c>
      <c r="D50" s="17" t="n">
        <v>96.508</v>
      </c>
      <c r="E50" s="18" t="n">
        <v>193.02</v>
      </c>
      <c r="F50" s="20" t="n">
        <f aca="false">ROUND(C50*1000,0)</f>
        <v>2000</v>
      </c>
      <c r="G50" s="20" t="n">
        <f aca="false">ROUND(D50*10000,0)</f>
        <v>965080</v>
      </c>
      <c r="H50" s="21" t="n">
        <f aca="false">F50*G50/100000</f>
        <v>19301.6</v>
      </c>
      <c r="I50" s="20" t="n">
        <f aca="false">ROUND(H50,0)</f>
        <v>19302</v>
      </c>
      <c r="J50" s="22" t="n">
        <f aca="false">I50/100</f>
        <v>193.02</v>
      </c>
      <c r="K50" s="12" t="str">
        <f aca="false">IF(OR(C50="",D50="",E50=""),"missing value",IF(ROUND(E50*100,0)=I50,"matches","MISMATCH"))</f>
        <v>matches</v>
      </c>
      <c r="L50" s="19" t="s">
        <v>426</v>
      </c>
    </row>
    <row r="51" customFormat="false" ht="15" hidden="false" customHeight="false" outlineLevel="0" collapsed="false">
      <c r="A51" s="11" t="s">
        <v>397</v>
      </c>
      <c r="B51" s="12" t="s">
        <v>108</v>
      </c>
      <c r="C51" s="16" t="n">
        <v>20</v>
      </c>
      <c r="D51" s="17" t="n">
        <v>0.465</v>
      </c>
      <c r="E51" s="18" t="n">
        <v>9.3</v>
      </c>
      <c r="F51" s="20" t="n">
        <f aca="false">ROUND(C51*1000,0)</f>
        <v>20000</v>
      </c>
      <c r="G51" s="20" t="n">
        <f aca="false">ROUND(D51*10000,0)</f>
        <v>4650</v>
      </c>
      <c r="H51" s="21" t="n">
        <f aca="false">F51*G51/100000</f>
        <v>930</v>
      </c>
      <c r="I51" s="20" t="n">
        <f aca="false">ROUND(H51,0)</f>
        <v>930</v>
      </c>
      <c r="J51" s="22" t="n">
        <f aca="false">I51/100</f>
        <v>9.3</v>
      </c>
      <c r="K51" s="12" t="str">
        <f aca="false">IF(OR(C51="",D51="",E51=""),"missing value",IF(ROUND(E51*100,0)=I51,"matches","MISMATCH"))</f>
        <v>matches</v>
      </c>
      <c r="L51" s="19" t="s">
        <v>426</v>
      </c>
    </row>
    <row r="52" customFormat="false" ht="15" hidden="false" customHeight="false" outlineLevel="0" collapsed="false">
      <c r="A52" s="11" t="s">
        <v>398</v>
      </c>
      <c r="B52" s="12" t="s">
        <v>116</v>
      </c>
      <c r="C52" s="16" t="n">
        <v>2</v>
      </c>
      <c r="D52" s="17" t="n">
        <v>430.76</v>
      </c>
      <c r="E52" s="18" t="n">
        <v>861.52</v>
      </c>
      <c r="F52" s="20" t="n">
        <f aca="false">ROUND(C52*1000,0)</f>
        <v>2000</v>
      </c>
      <c r="G52" s="20" t="n">
        <f aca="false">ROUND(D52*10000,0)</f>
        <v>4307600</v>
      </c>
      <c r="H52" s="21" t="n">
        <f aca="false">F52*G52/100000</f>
        <v>86152</v>
      </c>
      <c r="I52" s="20" t="n">
        <f aca="false">ROUND(H52,0)</f>
        <v>86152</v>
      </c>
      <c r="J52" s="22" t="n">
        <f aca="false">I52/100</f>
        <v>861.52</v>
      </c>
      <c r="K52" s="12" t="str">
        <f aca="false">IF(OR(C52="",D52="",E52=""),"missing value",IF(ROUND(E52*100,0)=I52,"matches","MISMATCH"))</f>
        <v>matches</v>
      </c>
      <c r="L52" s="19" t="s">
        <v>425</v>
      </c>
    </row>
    <row r="53" customFormat="false" ht="15" hidden="false" customHeight="false" outlineLevel="0" collapsed="false">
      <c r="A53" s="11" t="s">
        <v>399</v>
      </c>
      <c r="B53" s="12" t="s">
        <v>124</v>
      </c>
      <c r="C53" s="16" t="n">
        <v>4</v>
      </c>
      <c r="D53" s="17" t="n">
        <v>91.7875</v>
      </c>
      <c r="E53" s="18" t="n">
        <v>367.15</v>
      </c>
      <c r="F53" s="20" t="n">
        <f aca="false">ROUND(C53*1000,0)</f>
        <v>4000</v>
      </c>
      <c r="G53" s="20" t="n">
        <f aca="false">ROUND(D53*10000,0)</f>
        <v>917875</v>
      </c>
      <c r="H53" s="21" t="n">
        <f aca="false">F53*G53/100000</f>
        <v>36715</v>
      </c>
      <c r="I53" s="20" t="n">
        <f aca="false">ROUND(H53,0)</f>
        <v>36715</v>
      </c>
      <c r="J53" s="22" t="n">
        <f aca="false">I53/100</f>
        <v>367.15</v>
      </c>
      <c r="K53" s="12" t="str">
        <f aca="false">IF(OR(C53="",D53="",E53=""),"missing value",IF(ROUND(E53*100,0)=I53,"matches","MISMATCH"))</f>
        <v>matches</v>
      </c>
      <c r="L53" s="19" t="s">
        <v>426</v>
      </c>
    </row>
    <row r="54" customFormat="false" ht="15" hidden="false" customHeight="false" outlineLevel="0" collapsed="false">
      <c r="A54" s="11" t="s">
        <v>400</v>
      </c>
      <c r="B54" s="12" t="s">
        <v>108</v>
      </c>
      <c r="C54" s="16" t="n">
        <v>20</v>
      </c>
      <c r="D54" s="17" t="n">
        <v>0.465</v>
      </c>
      <c r="E54" s="18" t="n">
        <v>9.3</v>
      </c>
      <c r="F54" s="20" t="n">
        <f aca="false">ROUND(C54*1000,0)</f>
        <v>20000</v>
      </c>
      <c r="G54" s="20" t="n">
        <f aca="false">ROUND(D54*10000,0)</f>
        <v>4650</v>
      </c>
      <c r="H54" s="21" t="n">
        <f aca="false">F54*G54/100000</f>
        <v>930</v>
      </c>
      <c r="I54" s="20" t="n">
        <f aca="false">ROUND(H54,0)</f>
        <v>930</v>
      </c>
      <c r="J54" s="22" t="n">
        <f aca="false">I54/100</f>
        <v>9.3</v>
      </c>
      <c r="K54" s="12" t="str">
        <f aca="false">IF(OR(C54="",D54="",E54=""),"missing value",IF(ROUND(E54*100,0)=I54,"matches","MISMATCH"))</f>
        <v>matches</v>
      </c>
      <c r="L54" s="19" t="s">
        <v>426</v>
      </c>
    </row>
    <row r="55" customFormat="false" ht="15" hidden="false" customHeight="false" outlineLevel="0" collapsed="false">
      <c r="A55" s="11" t="s">
        <v>403</v>
      </c>
      <c r="B55" s="12" t="s">
        <v>120</v>
      </c>
      <c r="C55" s="16" t="n">
        <v>2</v>
      </c>
      <c r="D55" s="17" t="n">
        <v>430.76</v>
      </c>
      <c r="E55" s="18" t="n">
        <v>861.52</v>
      </c>
      <c r="F55" s="20" t="n">
        <f aca="false">ROUND(C55*1000,0)</f>
        <v>2000</v>
      </c>
      <c r="G55" s="20" t="n">
        <f aca="false">ROUND(D55*10000,0)</f>
        <v>4307600</v>
      </c>
      <c r="H55" s="21" t="n">
        <f aca="false">F55*G55/100000</f>
        <v>86152</v>
      </c>
      <c r="I55" s="20" t="n">
        <f aca="false">ROUND(H55,0)</f>
        <v>86152</v>
      </c>
      <c r="J55" s="22" t="n">
        <f aca="false">I55/100</f>
        <v>861.52</v>
      </c>
      <c r="K55" s="12" t="str">
        <f aca="false">IF(OR(C55="",D55="",E55=""),"missing value",IF(ROUND(E55*100,0)=I55,"matches","MISMATCH"))</f>
        <v>matches</v>
      </c>
      <c r="L55" s="19" t="s">
        <v>52</v>
      </c>
    </row>
    <row r="56" customFormat="false" ht="15" hidden="false" customHeight="false" outlineLevel="0" collapsed="false">
      <c r="A56" s="11" t="s">
        <v>404</v>
      </c>
      <c r="B56" s="12" t="s">
        <v>112</v>
      </c>
      <c r="C56" s="16" t="n">
        <v>6</v>
      </c>
      <c r="D56" s="17" t="n">
        <v>91.7875</v>
      </c>
      <c r="E56" s="18" t="n">
        <v>550.73</v>
      </c>
      <c r="F56" s="20" t="n">
        <f aca="false">ROUND(C56*1000,0)</f>
        <v>6000</v>
      </c>
      <c r="G56" s="20" t="n">
        <f aca="false">ROUND(D56*10000,0)</f>
        <v>917875</v>
      </c>
      <c r="H56" s="21" t="n">
        <f aca="false">F56*G56/100000</f>
        <v>55072.5</v>
      </c>
      <c r="I56" s="20" t="n">
        <f aca="false">ROUND(H56,0)</f>
        <v>55073</v>
      </c>
      <c r="J56" s="22" t="n">
        <f aca="false">I56/100</f>
        <v>550.73</v>
      </c>
      <c r="K56" s="12" t="str">
        <f aca="false">IF(OR(C56="",D56="",E56=""),"missing value",IF(ROUND(E56*100,0)=I56,"matches","MISMATCH"))</f>
        <v>matches</v>
      </c>
      <c r="L56" s="19" t="s">
        <v>425</v>
      </c>
    </row>
    <row r="57" customFormat="false" ht="15" hidden="false" customHeight="false" outlineLevel="0" collapsed="false">
      <c r="A57" s="11" t="s">
        <v>407</v>
      </c>
      <c r="B57" s="12" t="s">
        <v>116</v>
      </c>
      <c r="C57" s="16" t="n">
        <v>2</v>
      </c>
      <c r="D57" s="17" t="n">
        <v>409.22</v>
      </c>
      <c r="E57" s="18" t="n">
        <v>818.44</v>
      </c>
      <c r="F57" s="20" t="n">
        <f aca="false">ROUND(C57*1000,0)</f>
        <v>2000</v>
      </c>
      <c r="G57" s="20" t="n">
        <f aca="false">ROUND(D57*10000,0)</f>
        <v>4092200</v>
      </c>
      <c r="H57" s="21" t="n">
        <f aca="false">F57*G57/100000</f>
        <v>81844</v>
      </c>
      <c r="I57" s="20" t="n">
        <f aca="false">ROUND(H57,0)</f>
        <v>81844</v>
      </c>
      <c r="J57" s="22" t="n">
        <f aca="false">I57/100</f>
        <v>818.44</v>
      </c>
      <c r="K57" s="12" t="str">
        <f aca="false">IF(OR(C57="",D57="",E57=""),"missing value",IF(ROUND(E57*100,0)=I57,"matches","MISMATCH"))</f>
        <v>matches</v>
      </c>
      <c r="L57" s="19" t="s">
        <v>425</v>
      </c>
    </row>
    <row r="59" customFormat="false" ht="15" hidden="false" customHeight="false" outlineLevel="0" collapsed="false">
      <c r="A59" s="11" t="s">
        <v>427</v>
      </c>
      <c r="K59" s="12" t="n">
        <f aca="false">COUNTA(A2:A57)</f>
        <v>56</v>
      </c>
    </row>
    <row r="60" customFormat="false" ht="15" hidden="false" customHeight="false" outlineLevel="0" collapsed="false">
      <c r="A60" s="11" t="s">
        <v>428</v>
      </c>
      <c r="K60" s="12" t="n">
        <f aca="false">COUNTIF(K2:K57,"matches")</f>
        <v>51</v>
      </c>
    </row>
    <row r="61" customFormat="false" ht="15" hidden="false" customHeight="false" outlineLevel="0" collapsed="false">
      <c r="A61" s="11" t="s">
        <v>429</v>
      </c>
      <c r="K61" s="12" t="n">
        <f aca="false">COUNTIF(K2:K57,"MISMATCH")</f>
        <v>4</v>
      </c>
    </row>
    <row r="62" customFormat="false" ht="15" hidden="false" customHeight="false" outlineLevel="0" collapsed="false">
      <c r="A62" s="11" t="s">
        <v>430</v>
      </c>
      <c r="K62" s="12" t="n">
        <f aca="false">COUNTIF(K2:K57,"missing value")</f>
        <v>1</v>
      </c>
    </row>
    <row r="64" customFormat="false" ht="15" hidden="false" customHeight="false" outlineLevel="0" collapsed="false">
      <c r="A64" s="2" t="s">
        <v>431</v>
      </c>
    </row>
  </sheetData>
  <autoFilter ref="A1:L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3"/>
    <col collapsed="false" customWidth="true" hidden="false" outlineLevel="0" max="8" min="8" style="0" width="14"/>
    <col collapsed="false" customWidth="true" hidden="false" outlineLevel="0" max="9" min="9" style="0" width="11"/>
    <col collapsed="false" customWidth="true" hidden="false" outlineLevel="0" max="10" min="10" style="0" width="12"/>
    <col collapsed="false" customWidth="true" hidden="false" outlineLevel="0" max="11" min="11" style="0" width="15"/>
    <col collapsed="false" customWidth="true" hidden="false" outlineLevel="0" max="12" min="12" style="0" width="16"/>
    <col collapsed="false" customWidth="true" hidden="false" outlineLevel="0" max="13" min="13" style="0" width="14"/>
    <col collapsed="false" customWidth="true" hidden="false" outlineLevel="0" max="14" min="14" style="0" width="8"/>
    <col collapsed="false" customWidth="true" hidden="false" outlineLevel="0" max="15" min="15" style="0" width="16"/>
    <col collapsed="false" customWidth="true" hidden="false" outlineLevel="0" max="16" min="16" style="0" width="12"/>
  </cols>
  <sheetData>
    <row r="1" customFormat="false" ht="57.75" hidden="false" customHeight="true" outlineLevel="0" collapsed="false">
      <c r="A1" s="7" t="s">
        <v>224</v>
      </c>
      <c r="B1" s="7" t="s">
        <v>39</v>
      </c>
      <c r="C1" s="7" t="s">
        <v>237</v>
      </c>
      <c r="D1" s="7" t="s">
        <v>432</v>
      </c>
      <c r="E1" s="7" t="s">
        <v>433</v>
      </c>
      <c r="F1" s="7" t="s">
        <v>434</v>
      </c>
      <c r="G1" s="7" t="s">
        <v>435</v>
      </c>
      <c r="H1" s="7" t="s">
        <v>436</v>
      </c>
      <c r="I1" s="7" t="s">
        <v>437</v>
      </c>
      <c r="J1" s="7" t="s">
        <v>438</v>
      </c>
      <c r="K1" s="7" t="s">
        <v>439</v>
      </c>
      <c r="L1" s="7" t="s">
        <v>440</v>
      </c>
      <c r="M1" s="7" t="s">
        <v>441</v>
      </c>
      <c r="N1" s="7" t="s">
        <v>442</v>
      </c>
      <c r="O1" s="7" t="s">
        <v>443</v>
      </c>
      <c r="P1" s="7" t="s">
        <v>444</v>
      </c>
    </row>
    <row r="2" customFormat="false" ht="15" hidden="false" customHeight="false" outlineLevel="0" collapsed="false">
      <c r="A2" s="11" t="s">
        <v>51</v>
      </c>
      <c r="B2" s="12" t="s">
        <v>47</v>
      </c>
      <c r="C2" s="18" t="n">
        <v>367.15</v>
      </c>
      <c r="D2" s="17" t="n">
        <v>0.2</v>
      </c>
      <c r="E2" s="20" t="n">
        <f aca="false">ROUND(C2*100,0)</f>
        <v>36715</v>
      </c>
      <c r="F2" s="20" t="n">
        <f aca="false">IF(D2="",0,ROUND(D2*10000,0))</f>
        <v>2000</v>
      </c>
      <c r="G2" s="23" t="n">
        <f aca="false">E2*F2/10000</f>
        <v>7343</v>
      </c>
      <c r="H2" s="20" t="n">
        <f aca="false">ROUND(G2,0)</f>
        <v>7343</v>
      </c>
      <c r="I2" s="22" t="n">
        <f aca="false">H2/100</f>
        <v>73.43</v>
      </c>
      <c r="J2" s="22" t="n">
        <f aca="false">(E2+H2)/100</f>
        <v>440.58</v>
      </c>
      <c r="K2" s="18" t="n">
        <v>73.43</v>
      </c>
      <c r="L2" s="18" t="n">
        <v>440.58</v>
      </c>
      <c r="M2" s="12" t="str">
        <f aca="false">IF(AND(ROUND(I2*100,0)=ROUND(K2*100,0),ROUND(J2*100,0)=ROUND(L2*100,0)),"yes","NO")</f>
        <v>yes</v>
      </c>
      <c r="N2" s="11" t="str">
        <f aca="false">IF(ABS(G2-TRUNC(G2))=0.5,"tie","")</f>
        <v/>
      </c>
      <c r="O2" s="22" t="n">
        <f aca="false">IF(N2="tie",IF(MOD(ABS(TRUNC(G2)),2)=0,TRUNC(G2),TRUNC(G2)+SIGN(G2)),H2)/100</f>
        <v>73.43</v>
      </c>
      <c r="P2" s="12" t="str">
        <f aca="false">IF(ROUND(O2*100,0)=H2,"","differs")</f>
        <v/>
      </c>
    </row>
    <row r="3" customFormat="false" ht="15" hidden="false" customHeight="false" outlineLevel="0" collapsed="false">
      <c r="A3" s="11" t="s">
        <v>55</v>
      </c>
      <c r="B3" s="12" t="s">
        <v>53</v>
      </c>
      <c r="C3" s="18" t="n">
        <v>30.63</v>
      </c>
      <c r="D3" s="17" t="n">
        <v>0.2</v>
      </c>
      <c r="E3" s="20" t="n">
        <f aca="false">ROUND(C3*100,0)</f>
        <v>3063</v>
      </c>
      <c r="F3" s="20" t="n">
        <f aca="false">IF(D3="",0,ROUND(D3*10000,0))</f>
        <v>2000</v>
      </c>
      <c r="G3" s="23" t="n">
        <f aca="false">E3*F3/10000</f>
        <v>612.6</v>
      </c>
      <c r="H3" s="20" t="n">
        <f aca="false">ROUND(G3,0)</f>
        <v>613</v>
      </c>
      <c r="I3" s="22" t="n">
        <f aca="false">H3/100</f>
        <v>6.13</v>
      </c>
      <c r="J3" s="22" t="n">
        <f aca="false">(E3+H3)/100</f>
        <v>36.76</v>
      </c>
      <c r="K3" s="18" t="n">
        <v>6.13</v>
      </c>
      <c r="L3" s="18" t="n">
        <v>36.76</v>
      </c>
      <c r="M3" s="12" t="str">
        <f aca="false">IF(AND(ROUND(I3*100,0)=ROUND(K3*100,0),ROUND(J3*100,0)=ROUND(L3*100,0)),"yes","NO")</f>
        <v>yes</v>
      </c>
      <c r="N3" s="11" t="str">
        <f aca="false">IF(ABS(G3-TRUNC(G3))=0.5,"tie","")</f>
        <v/>
      </c>
      <c r="O3" s="22" t="n">
        <f aca="false">IF(N3="tie",IF(MOD(ABS(TRUNC(G3)),2)=0,TRUNC(G3),TRUNC(G3)+SIGN(G3)),H3)/100</f>
        <v>6.13</v>
      </c>
      <c r="P3" s="12" t="str">
        <f aca="false">IF(ROUND(O3*100,0)=H3,"","differs")</f>
        <v/>
      </c>
    </row>
    <row r="4" customFormat="false" ht="15" hidden="false" customHeight="false" outlineLevel="0" collapsed="false">
      <c r="A4" s="11" t="s">
        <v>58</v>
      </c>
      <c r="B4" s="12" t="s">
        <v>56</v>
      </c>
      <c r="C4" s="18" t="n">
        <v>793.04</v>
      </c>
      <c r="D4" s="17"/>
      <c r="E4" s="20" t="n">
        <f aca="false">ROUND(C4*100,0)</f>
        <v>79304</v>
      </c>
      <c r="F4" s="20" t="n">
        <f aca="false">IF(D4="",0,ROUND(D4*10000,0))</f>
        <v>0</v>
      </c>
      <c r="G4" s="23" t="n">
        <f aca="false">E4*F4/10000</f>
        <v>0</v>
      </c>
      <c r="H4" s="20" t="n">
        <f aca="false">ROUND(G4,0)</f>
        <v>0</v>
      </c>
      <c r="I4" s="22" t="n">
        <f aca="false">H4/100</f>
        <v>0</v>
      </c>
      <c r="J4" s="22" t="n">
        <f aca="false">(E4+H4)/100</f>
        <v>793.04</v>
      </c>
      <c r="K4" s="18" t="n">
        <v>0</v>
      </c>
      <c r="L4" s="18" t="n">
        <v>793.04</v>
      </c>
      <c r="M4" s="12" t="str">
        <f aca="false">IF(AND(ROUND(I4*100,0)=ROUND(K4*100,0),ROUND(J4*100,0)=ROUND(L4*100,0)),"yes","NO")</f>
        <v>yes</v>
      </c>
      <c r="N4" s="11" t="str">
        <f aca="false">IF(ABS(G4-TRUNC(G4))=0.5,"tie","")</f>
        <v/>
      </c>
      <c r="O4" s="22" t="n">
        <f aca="false">IF(N4="tie",IF(MOD(ABS(TRUNC(G4)),2)=0,TRUNC(G4),TRUNC(G4)+SIGN(G4)),H4)/100</f>
        <v>0</v>
      </c>
      <c r="P4" s="12" t="str">
        <f aca="false">IF(ROUND(O4*100,0)=H4,"","differs")</f>
        <v/>
      </c>
    </row>
    <row r="5" customFormat="false" ht="15" hidden="false" customHeight="false" outlineLevel="0" collapsed="false">
      <c r="A5" s="11" t="s">
        <v>61</v>
      </c>
      <c r="B5" s="12" t="s">
        <v>59</v>
      </c>
      <c r="C5" s="18" t="n">
        <v>3</v>
      </c>
      <c r="D5" s="17" t="n">
        <v>0.055</v>
      </c>
      <c r="E5" s="20" t="n">
        <f aca="false">ROUND(C5*100,0)</f>
        <v>300</v>
      </c>
      <c r="F5" s="20" t="n">
        <f aca="false">IF(D5="",0,ROUND(D5*10000,0))</f>
        <v>550</v>
      </c>
      <c r="G5" s="23" t="n">
        <f aca="false">E5*F5/10000</f>
        <v>16.5</v>
      </c>
      <c r="H5" s="20" t="n">
        <f aca="false">ROUND(G5,0)</f>
        <v>17</v>
      </c>
      <c r="I5" s="22" t="n">
        <f aca="false">H5/100</f>
        <v>0.17</v>
      </c>
      <c r="J5" s="22" t="n">
        <f aca="false">(E5+H5)/100</f>
        <v>3.17</v>
      </c>
      <c r="K5" s="18" t="n">
        <v>0.17</v>
      </c>
      <c r="L5" s="18" t="n">
        <v>3.17</v>
      </c>
      <c r="M5" s="12" t="str">
        <f aca="false">IF(AND(ROUND(I5*100,0)=ROUND(K5*100,0),ROUND(J5*100,0)=ROUND(L5*100,0)),"yes","NO")</f>
        <v>yes</v>
      </c>
      <c r="N5" s="11" t="str">
        <f aca="false">IF(ABS(G5-TRUNC(G5))=0.5,"tie","")</f>
        <v>tie</v>
      </c>
      <c r="O5" s="22" t="n">
        <f aca="false">IF(N5="tie",IF(MOD(ABS(TRUNC(G5)),2)=0,TRUNC(G5),TRUNC(G5)+SIGN(G5)),H5)/100</f>
        <v>0.16</v>
      </c>
      <c r="P5" s="12" t="str">
        <f aca="false">IF(ROUND(O5*100,0)=H5,"","differs")</f>
        <v>differs</v>
      </c>
    </row>
    <row r="6" customFormat="false" ht="15" hidden="false" customHeight="false" outlineLevel="0" collapsed="false">
      <c r="A6" s="11" t="s">
        <v>64</v>
      </c>
      <c r="B6" s="12" t="s">
        <v>62</v>
      </c>
      <c r="C6" s="18" t="n">
        <v>-367.15</v>
      </c>
      <c r="D6" s="17" t="n">
        <v>0.2</v>
      </c>
      <c r="E6" s="20" t="n">
        <f aca="false">ROUND(C6*100,0)</f>
        <v>-36715</v>
      </c>
      <c r="F6" s="20" t="n">
        <f aca="false">IF(D6="",0,ROUND(D6*10000,0))</f>
        <v>2000</v>
      </c>
      <c r="G6" s="23" t="n">
        <f aca="false">E6*F6/10000</f>
        <v>-7343</v>
      </c>
      <c r="H6" s="20" t="n">
        <f aca="false">ROUND(G6,0)</f>
        <v>-7343</v>
      </c>
      <c r="I6" s="22" t="n">
        <f aca="false">H6/100</f>
        <v>-73.43</v>
      </c>
      <c r="J6" s="22" t="n">
        <f aca="false">(E6+H6)/100</f>
        <v>-440.58</v>
      </c>
      <c r="K6" s="18" t="n">
        <v>-73.43</v>
      </c>
      <c r="L6" s="18" t="n">
        <v>-440.58</v>
      </c>
      <c r="M6" s="12" t="str">
        <f aca="false">IF(AND(ROUND(I6*100,0)=ROUND(K6*100,0),ROUND(J6*100,0)=ROUND(L6*100,0)),"yes","NO")</f>
        <v>yes</v>
      </c>
      <c r="N6" s="11" t="str">
        <f aca="false">IF(ABS(G6-TRUNC(G6))=0.5,"tie","")</f>
        <v/>
      </c>
      <c r="O6" s="22" t="n">
        <f aca="false">IF(N6="tie",IF(MOD(ABS(TRUNC(G6)),2)=0,TRUNC(G6),TRUNC(G6)+SIGN(G6)),H6)/100</f>
        <v>-73.43</v>
      </c>
      <c r="P6" s="12" t="str">
        <f aca="false">IF(ROUND(O6*100,0)=H6,"","differs")</f>
        <v/>
      </c>
    </row>
    <row r="7" customFormat="false" ht="15" hidden="false" customHeight="false" outlineLevel="0" collapsed="false">
      <c r="A7" s="11" t="s">
        <v>67</v>
      </c>
      <c r="B7" s="12" t="s">
        <v>65</v>
      </c>
      <c r="C7" s="18" t="n">
        <v>-3</v>
      </c>
      <c r="D7" s="17" t="n">
        <v>0.055</v>
      </c>
      <c r="E7" s="20" t="n">
        <f aca="false">ROUND(C7*100,0)</f>
        <v>-300</v>
      </c>
      <c r="F7" s="20" t="n">
        <f aca="false">IF(D7="",0,ROUND(D7*10000,0))</f>
        <v>550</v>
      </c>
      <c r="G7" s="23" t="n">
        <f aca="false">E7*F7/10000</f>
        <v>-16.5</v>
      </c>
      <c r="H7" s="20" t="n">
        <f aca="false">ROUND(G7,0)</f>
        <v>-17</v>
      </c>
      <c r="I7" s="22" t="n">
        <f aca="false">H7/100</f>
        <v>-0.17</v>
      </c>
      <c r="J7" s="22" t="n">
        <f aca="false">(E7+H7)/100</f>
        <v>-3.17</v>
      </c>
      <c r="K7" s="18" t="n">
        <v>-0.17</v>
      </c>
      <c r="L7" s="18" t="n">
        <v>-3.17</v>
      </c>
      <c r="M7" s="12" t="str">
        <f aca="false">IF(AND(ROUND(I7*100,0)=ROUND(K7*100,0),ROUND(J7*100,0)=ROUND(L7*100,0)),"yes","NO")</f>
        <v>yes</v>
      </c>
      <c r="N7" s="11" t="str">
        <f aca="false">IF(ABS(G7-TRUNC(G7))=0.5,"tie","")</f>
        <v>tie</v>
      </c>
      <c r="O7" s="22" t="n">
        <f aca="false">IF(N7="tie",IF(MOD(ABS(TRUNC(G7)),2)=0,TRUNC(G7),TRUNC(G7)+SIGN(G7)),H7)/100</f>
        <v>-0.16</v>
      </c>
      <c r="P7" s="12" t="str">
        <f aca="false">IF(ROUND(O7*100,0)=H7,"","differs")</f>
        <v>differs</v>
      </c>
    </row>
    <row r="8" customFormat="false" ht="15" hidden="false" customHeight="false" outlineLevel="0" collapsed="false">
      <c r="A8" s="11" t="s">
        <v>70</v>
      </c>
      <c r="B8" s="12" t="s">
        <v>68</v>
      </c>
      <c r="C8" s="18" t="n">
        <v>2496.45</v>
      </c>
      <c r="D8" s="17" t="n">
        <v>0.19</v>
      </c>
      <c r="E8" s="20" t="n">
        <f aca="false">ROUND(C8*100,0)</f>
        <v>249645</v>
      </c>
      <c r="F8" s="20" t="n">
        <f aca="false">IF(D8="",0,ROUND(D8*10000,0))</f>
        <v>1900</v>
      </c>
      <c r="G8" s="23" t="n">
        <f aca="false">E8*F8/10000</f>
        <v>47432.55</v>
      </c>
      <c r="H8" s="20" t="n">
        <f aca="false">ROUND(G8,0)</f>
        <v>47433</v>
      </c>
      <c r="I8" s="22" t="n">
        <f aca="false">H8/100</f>
        <v>474.33</v>
      </c>
      <c r="J8" s="22" t="n">
        <f aca="false">(E8+H8)/100</f>
        <v>2970.78</v>
      </c>
      <c r="K8" s="18" t="n">
        <v>474.33</v>
      </c>
      <c r="L8" s="18" t="n">
        <v>2970.78</v>
      </c>
      <c r="M8" s="12" t="str">
        <f aca="false">IF(AND(ROUND(I8*100,0)=ROUND(K8*100,0),ROUND(J8*100,0)=ROUND(L8*100,0)),"yes","NO")</f>
        <v>yes</v>
      </c>
      <c r="N8" s="11" t="str">
        <f aca="false">IF(ABS(G8-TRUNC(G8))=0.5,"tie","")</f>
        <v/>
      </c>
      <c r="O8" s="22" t="n">
        <f aca="false">IF(N8="tie",IF(MOD(ABS(TRUNC(G8)),2)=0,TRUNC(G8),TRUNC(G8)+SIGN(G8)),H8)/100</f>
        <v>474.33</v>
      </c>
      <c r="P8" s="12" t="str">
        <f aca="false">IF(ROUND(O8*100,0)=H8,"","differs")</f>
        <v/>
      </c>
    </row>
    <row r="9" customFormat="false" ht="15" hidden="false" customHeight="false" outlineLevel="0" collapsed="false">
      <c r="A9" s="11" t="s">
        <v>73</v>
      </c>
      <c r="B9" s="12" t="s">
        <v>71</v>
      </c>
      <c r="C9" s="18" t="n">
        <v>0.5</v>
      </c>
      <c r="D9" s="17" t="n">
        <v>0.21</v>
      </c>
      <c r="E9" s="20" t="n">
        <f aca="false">ROUND(C9*100,0)</f>
        <v>50</v>
      </c>
      <c r="F9" s="20" t="n">
        <f aca="false">IF(D9="",0,ROUND(D9*10000,0))</f>
        <v>2100</v>
      </c>
      <c r="G9" s="23" t="n">
        <f aca="false">E9*F9/10000</f>
        <v>10.5</v>
      </c>
      <c r="H9" s="20" t="n">
        <f aca="false">ROUND(G9,0)</f>
        <v>11</v>
      </c>
      <c r="I9" s="22" t="n">
        <f aca="false">H9/100</f>
        <v>0.11</v>
      </c>
      <c r="J9" s="22" t="n">
        <f aca="false">(E9+H9)/100</f>
        <v>0.61</v>
      </c>
      <c r="K9" s="18" t="n">
        <v>0.11</v>
      </c>
      <c r="L9" s="18" t="n">
        <v>0.61</v>
      </c>
      <c r="M9" s="12" t="str">
        <f aca="false">IF(AND(ROUND(I9*100,0)=ROUND(K9*100,0),ROUND(J9*100,0)=ROUND(L9*100,0)),"yes","NO")</f>
        <v>yes</v>
      </c>
      <c r="N9" s="11" t="str">
        <f aca="false">IF(ABS(G9-TRUNC(G9))=0.5,"tie","")</f>
        <v>tie</v>
      </c>
      <c r="O9" s="22" t="n">
        <f aca="false">IF(N9="tie",IF(MOD(ABS(TRUNC(G9)),2)=0,TRUNC(G9),TRUNC(G9)+SIGN(G9)),H9)/100</f>
        <v>0.1</v>
      </c>
      <c r="P9" s="12" t="str">
        <f aca="false">IF(ROUND(O9*100,0)=H9,"","differs")</f>
        <v>differs</v>
      </c>
    </row>
    <row r="10" customFormat="false" ht="15" hidden="false" customHeight="false" outlineLevel="0" collapsed="false">
      <c r="A10" s="11" t="s">
        <v>307</v>
      </c>
      <c r="B10" s="12" t="s">
        <v>103</v>
      </c>
      <c r="C10" s="18" t="n">
        <v>193.02</v>
      </c>
      <c r="D10" s="17" t="n">
        <v>0.21</v>
      </c>
      <c r="E10" s="20" t="n">
        <f aca="false">ROUND(C10*100,0)</f>
        <v>19302</v>
      </c>
      <c r="F10" s="20" t="n">
        <f aca="false">IF(D10="",0,ROUND(D10*10000,0))</f>
        <v>2100</v>
      </c>
      <c r="G10" s="23" t="n">
        <f aca="false">E10*F10/10000</f>
        <v>4053.42</v>
      </c>
      <c r="H10" s="20" t="n">
        <f aca="false">ROUND(G10,0)</f>
        <v>4053</v>
      </c>
      <c r="I10" s="22" t="n">
        <f aca="false">H10/100</f>
        <v>40.53</v>
      </c>
      <c r="J10" s="22" t="n">
        <f aca="false">(E10+H10)/100</f>
        <v>233.55</v>
      </c>
      <c r="K10" s="18" t="n">
        <v>40.53</v>
      </c>
      <c r="L10" s="18" t="n">
        <v>233.55</v>
      </c>
      <c r="M10" s="12" t="str">
        <f aca="false">IF(AND(ROUND(I10*100,0)=ROUND(K10*100,0),ROUND(J10*100,0)=ROUND(L10*100,0)),"yes","NO")</f>
        <v>yes</v>
      </c>
      <c r="N10" s="11" t="str">
        <f aca="false">IF(ABS(G10-TRUNC(G10))=0.5,"tie","")</f>
        <v/>
      </c>
      <c r="O10" s="22" t="n">
        <f aca="false">IF(N10="tie",IF(MOD(ABS(TRUNC(G10)),2)=0,TRUNC(G10),TRUNC(G10)+SIGN(G10)),H10)/100</f>
        <v>40.53</v>
      </c>
      <c r="P10" s="12" t="str">
        <f aca="false">IF(ROUND(O10*100,0)=H10,"","differs")</f>
        <v/>
      </c>
    </row>
    <row r="11" customFormat="false" ht="15" hidden="false" customHeight="false" outlineLevel="0" collapsed="false">
      <c r="A11" s="11" t="s">
        <v>310</v>
      </c>
      <c r="B11" s="12" t="s">
        <v>108</v>
      </c>
      <c r="C11" s="18" t="n">
        <v>9.3</v>
      </c>
      <c r="D11" s="17" t="n">
        <v>0.19</v>
      </c>
      <c r="E11" s="20" t="n">
        <f aca="false">ROUND(C11*100,0)</f>
        <v>930</v>
      </c>
      <c r="F11" s="20" t="n">
        <f aca="false">IF(D11="",0,ROUND(D11*10000,0))</f>
        <v>1900</v>
      </c>
      <c r="G11" s="23" t="n">
        <f aca="false">E11*F11/10000</f>
        <v>176.7</v>
      </c>
      <c r="H11" s="20" t="n">
        <f aca="false">ROUND(G11,0)</f>
        <v>177</v>
      </c>
      <c r="I11" s="22" t="n">
        <f aca="false">H11/100</f>
        <v>1.77</v>
      </c>
      <c r="J11" s="22" t="n">
        <f aca="false">(E11+H11)/100</f>
        <v>11.07</v>
      </c>
      <c r="K11" s="18" t="n">
        <v>1.77</v>
      </c>
      <c r="L11" s="18" t="n">
        <v>11.07</v>
      </c>
      <c r="M11" s="12" t="str">
        <f aca="false">IF(AND(ROUND(I11*100,0)=ROUND(K11*100,0),ROUND(J11*100,0)=ROUND(L11*100,0)),"yes","NO")</f>
        <v>yes</v>
      </c>
      <c r="N11" s="11" t="str">
        <f aca="false">IF(ABS(G11-TRUNC(G11))=0.5,"tie","")</f>
        <v/>
      </c>
      <c r="O11" s="22" t="n">
        <f aca="false">IF(N11="tie",IF(MOD(ABS(TRUNC(G11)),2)=0,TRUNC(G11),TRUNC(G11)+SIGN(G11)),H11)/100</f>
        <v>1.77</v>
      </c>
      <c r="P11" s="12" t="str">
        <f aca="false">IF(ROUND(O11*100,0)=H11,"","differs")</f>
        <v/>
      </c>
    </row>
    <row r="12" customFormat="false" ht="15" hidden="false" customHeight="false" outlineLevel="0" collapsed="false">
      <c r="A12" s="11" t="s">
        <v>181</v>
      </c>
      <c r="B12" s="12" t="s">
        <v>178</v>
      </c>
      <c r="C12" s="18" t="n">
        <v>44.99</v>
      </c>
      <c r="D12" s="17"/>
      <c r="E12" s="20" t="n">
        <f aca="false">ROUND(C12*100,0)</f>
        <v>4499</v>
      </c>
      <c r="F12" s="20" t="n">
        <f aca="false">IF(D12="",0,ROUND(D12*10000,0))</f>
        <v>0</v>
      </c>
      <c r="G12" s="23" t="n">
        <f aca="false">E12*F12/10000</f>
        <v>0</v>
      </c>
      <c r="H12" s="20" t="n">
        <f aca="false">ROUND(G12,0)</f>
        <v>0</v>
      </c>
      <c r="I12" s="22" t="n">
        <f aca="false">H12/100</f>
        <v>0</v>
      </c>
      <c r="J12" s="22" t="n">
        <f aca="false">(E12+H12)/100</f>
        <v>44.99</v>
      </c>
      <c r="K12" s="18" t="n">
        <v>0</v>
      </c>
      <c r="L12" s="18" t="n">
        <v>44.99</v>
      </c>
      <c r="M12" s="12" t="str">
        <f aca="false">IF(AND(ROUND(I12*100,0)=ROUND(K12*100,0),ROUND(J12*100,0)=ROUND(L12*100,0)),"yes","NO")</f>
        <v>yes</v>
      </c>
      <c r="N12" s="11" t="str">
        <f aca="false">IF(ABS(G12-TRUNC(G12))=0.5,"tie","")</f>
        <v/>
      </c>
      <c r="O12" s="22" t="n">
        <f aca="false">IF(N12="tie",IF(MOD(ABS(TRUNC(G12)),2)=0,TRUNC(G12),TRUNC(G12)+SIGN(G12)),H12)/100</f>
        <v>0</v>
      </c>
      <c r="P12" s="12" t="str">
        <f aca="false">IF(ROUND(O12*100,0)=H12,"","differs")</f>
        <v/>
      </c>
    </row>
    <row r="13" customFormat="false" ht="15" hidden="false" customHeight="false" outlineLevel="0" collapsed="false">
      <c r="A13" s="11" t="s">
        <v>185</v>
      </c>
      <c r="B13" s="12" t="s">
        <v>183</v>
      </c>
      <c r="C13" s="18" t="n">
        <v>183.58</v>
      </c>
      <c r="D13" s="17" t="n">
        <v>0.2</v>
      </c>
      <c r="E13" s="20" t="n">
        <f aca="false">ROUND(C13*100,0)</f>
        <v>18358</v>
      </c>
      <c r="F13" s="20" t="n">
        <f aca="false">IF(D13="",0,ROUND(D13*10000,0))</f>
        <v>2000</v>
      </c>
      <c r="G13" s="23" t="n">
        <f aca="false">E13*F13/10000</f>
        <v>3671.6</v>
      </c>
      <c r="H13" s="20" t="n">
        <f aca="false">ROUND(G13,0)</f>
        <v>3672</v>
      </c>
      <c r="I13" s="22" t="n">
        <f aca="false">H13/100</f>
        <v>36.72</v>
      </c>
      <c r="J13" s="22" t="n">
        <f aca="false">(E13+H13)/100</f>
        <v>220.3</v>
      </c>
      <c r="K13" s="18" t="n">
        <v>36.72</v>
      </c>
      <c r="L13" s="18" t="n">
        <v>220.3</v>
      </c>
      <c r="M13" s="12" t="str">
        <f aca="false">IF(AND(ROUND(I13*100,0)=ROUND(K13*100,0),ROUND(J13*100,0)=ROUND(L13*100,0)),"yes","NO")</f>
        <v>yes</v>
      </c>
      <c r="N13" s="11" t="str">
        <f aca="false">IF(ABS(G13-TRUNC(G13))=0.5,"tie","")</f>
        <v/>
      </c>
      <c r="O13" s="22" t="n">
        <f aca="false">IF(N13="tie",IF(MOD(ABS(TRUNC(G13)),2)=0,TRUNC(G13),TRUNC(G13)+SIGN(G13)),H13)/100</f>
        <v>36.72</v>
      </c>
      <c r="P13" s="12" t="str">
        <f aca="false">IF(ROUND(O13*100,0)=H13,"","differs")</f>
        <v/>
      </c>
    </row>
    <row r="14" customFormat="false" ht="15" hidden="false" customHeight="false" outlineLevel="0" collapsed="false">
      <c r="A14" s="11" t="s">
        <v>189</v>
      </c>
      <c r="B14" s="12" t="s">
        <v>187</v>
      </c>
      <c r="C14" s="18" t="n">
        <v>1764</v>
      </c>
      <c r="D14" s="17" t="n">
        <v>0.21</v>
      </c>
      <c r="E14" s="20" t="n">
        <f aca="false">ROUND(C14*100,0)</f>
        <v>176400</v>
      </c>
      <c r="F14" s="20" t="n">
        <f aca="false">IF(D14="",0,ROUND(D14*10000,0))</f>
        <v>2100</v>
      </c>
      <c r="G14" s="23" t="n">
        <f aca="false">E14*F14/10000</f>
        <v>37044</v>
      </c>
      <c r="H14" s="20" t="n">
        <f aca="false">ROUND(G14,0)</f>
        <v>37044</v>
      </c>
      <c r="I14" s="22" t="n">
        <f aca="false">H14/100</f>
        <v>370.44</v>
      </c>
      <c r="J14" s="22" t="n">
        <f aca="false">(E14+H14)/100</f>
        <v>2134.44</v>
      </c>
      <c r="K14" s="18" t="n">
        <v>370.44</v>
      </c>
      <c r="L14" s="18" t="n">
        <v>2134.44</v>
      </c>
      <c r="M14" s="12" t="str">
        <f aca="false">IF(AND(ROUND(I14*100,0)=ROUND(K14*100,0),ROUND(J14*100,0)=ROUND(L14*100,0)),"yes","NO")</f>
        <v>yes</v>
      </c>
      <c r="N14" s="11" t="str">
        <f aca="false">IF(ABS(G14-TRUNC(G14))=0.5,"tie","")</f>
        <v/>
      </c>
      <c r="O14" s="22" t="n">
        <f aca="false">IF(N14="tie",IF(MOD(ABS(TRUNC(G14)),2)=0,TRUNC(G14),TRUNC(G14)+SIGN(G14)),H14)/100</f>
        <v>370.44</v>
      </c>
      <c r="P14" s="12" t="str">
        <f aca="false">IF(ROUND(O14*100,0)=H14,"","differs")</f>
        <v/>
      </c>
    </row>
    <row r="15" customFormat="false" ht="15" hidden="false" customHeight="false" outlineLevel="0" collapsed="false">
      <c r="A15" s="11" t="s">
        <v>192</v>
      </c>
      <c r="B15" s="12" t="s">
        <v>190</v>
      </c>
      <c r="C15" s="18" t="n">
        <v>373.44</v>
      </c>
      <c r="D15" s="17" t="n">
        <v>0.2</v>
      </c>
      <c r="E15" s="20" t="n">
        <f aca="false">ROUND(C15*100,0)</f>
        <v>37344</v>
      </c>
      <c r="F15" s="20" t="n">
        <f aca="false">IF(D15="",0,ROUND(D15*10000,0))</f>
        <v>2000</v>
      </c>
      <c r="G15" s="23" t="n">
        <f aca="false">E15*F15/10000</f>
        <v>7468.8</v>
      </c>
      <c r="H15" s="20" t="n">
        <f aca="false">ROUND(G15,0)</f>
        <v>7469</v>
      </c>
      <c r="I15" s="22" t="n">
        <f aca="false">H15/100</f>
        <v>74.69</v>
      </c>
      <c r="J15" s="22" t="n">
        <f aca="false">(E15+H15)/100</f>
        <v>448.13</v>
      </c>
      <c r="K15" s="18" t="n">
        <v>74.69</v>
      </c>
      <c r="L15" s="18" t="n">
        <v>448.13</v>
      </c>
      <c r="M15" s="12" t="str">
        <f aca="false">IF(AND(ROUND(I15*100,0)=ROUND(K15*100,0),ROUND(J15*100,0)=ROUND(L15*100,0)),"yes","NO")</f>
        <v>yes</v>
      </c>
      <c r="N15" s="11" t="str">
        <f aca="false">IF(ABS(G15-TRUNC(G15))=0.5,"tie","")</f>
        <v/>
      </c>
      <c r="O15" s="22" t="n">
        <f aca="false">IF(N15="tie",IF(MOD(ABS(TRUNC(G15)),2)=0,TRUNC(G15),TRUNC(G15)+SIGN(G15)),H15)/100</f>
        <v>74.69</v>
      </c>
      <c r="P15" s="12" t="str">
        <f aca="false">IF(ROUND(O15*100,0)=H15,"","differs")</f>
        <v/>
      </c>
    </row>
    <row r="16" customFormat="false" ht="15" hidden="false" customHeight="false" outlineLevel="0" collapsed="false">
      <c r="A16" s="11" t="s">
        <v>196</v>
      </c>
      <c r="B16" s="12" t="s">
        <v>194</v>
      </c>
      <c r="C16" s="18" t="n">
        <v>-832.15</v>
      </c>
      <c r="D16" s="17" t="n">
        <v>0.19</v>
      </c>
      <c r="E16" s="20" t="n">
        <f aca="false">ROUND(C16*100,0)</f>
        <v>-83215</v>
      </c>
      <c r="F16" s="20" t="n">
        <f aca="false">IF(D16="",0,ROUND(D16*10000,0))</f>
        <v>1900</v>
      </c>
      <c r="G16" s="23" t="n">
        <f aca="false">E16*F16/10000</f>
        <v>-15810.85</v>
      </c>
      <c r="H16" s="20" t="n">
        <f aca="false">ROUND(G16,0)</f>
        <v>-15811</v>
      </c>
      <c r="I16" s="22" t="n">
        <f aca="false">H16/100</f>
        <v>-158.11</v>
      </c>
      <c r="J16" s="22" t="n">
        <f aca="false">(E16+H16)/100</f>
        <v>-990.26</v>
      </c>
      <c r="K16" s="18" t="n">
        <v>-158.11</v>
      </c>
      <c r="L16" s="18" t="n">
        <v>-990.26</v>
      </c>
      <c r="M16" s="12" t="str">
        <f aca="false">IF(AND(ROUND(I16*100,0)=ROUND(K16*100,0),ROUND(J16*100,0)=ROUND(L16*100,0)),"yes","NO")</f>
        <v>yes</v>
      </c>
      <c r="N16" s="11" t="str">
        <f aca="false">IF(ABS(G16-TRUNC(G16))=0.5,"tie","")</f>
        <v/>
      </c>
      <c r="O16" s="22" t="n">
        <f aca="false">IF(N16="tie",IF(MOD(ABS(TRUNC(G16)),2)=0,TRUNC(G16),TRUNC(G16)+SIGN(G16)),H16)/100</f>
        <v>-158.11</v>
      </c>
      <c r="P16" s="12" t="str">
        <f aca="false">IF(ROUND(O16*100,0)=H16,"","differs")</f>
        <v/>
      </c>
    </row>
    <row r="17" customFormat="false" ht="15" hidden="false" customHeight="false" outlineLevel="0" collapsed="false">
      <c r="A17" s="11" t="s">
        <v>199</v>
      </c>
      <c r="B17" s="12" t="s">
        <v>197</v>
      </c>
      <c r="C17" s="18" t="n">
        <v>-441</v>
      </c>
      <c r="D17" s="17" t="n">
        <v>0.21</v>
      </c>
      <c r="E17" s="20" t="n">
        <f aca="false">ROUND(C17*100,0)</f>
        <v>-44100</v>
      </c>
      <c r="F17" s="20" t="n">
        <f aca="false">IF(D17="",0,ROUND(D17*10000,0))</f>
        <v>2100</v>
      </c>
      <c r="G17" s="23" t="n">
        <f aca="false">E17*F17/10000</f>
        <v>-9261</v>
      </c>
      <c r="H17" s="20" t="n">
        <f aca="false">ROUND(G17,0)</f>
        <v>-9261</v>
      </c>
      <c r="I17" s="22" t="n">
        <f aca="false">H17/100</f>
        <v>-92.61</v>
      </c>
      <c r="J17" s="22" t="n">
        <f aca="false">(E17+H17)/100</f>
        <v>-533.61</v>
      </c>
      <c r="K17" s="18" t="n">
        <v>-92.61</v>
      </c>
      <c r="L17" s="18" t="n">
        <v>-533.61</v>
      </c>
      <c r="M17" s="12" t="str">
        <f aca="false">IF(AND(ROUND(I17*100,0)=ROUND(K17*100,0),ROUND(J17*100,0)=ROUND(L17*100,0)),"yes","NO")</f>
        <v>yes</v>
      </c>
      <c r="N17" s="11" t="str">
        <f aca="false">IF(ABS(G17-TRUNC(G17))=0.5,"tie","")</f>
        <v/>
      </c>
      <c r="O17" s="22" t="n">
        <f aca="false">IF(N17="tie",IF(MOD(ABS(TRUNC(G17)),2)=0,TRUNC(G17),TRUNC(G17)+SIGN(G17)),H17)/100</f>
        <v>-92.61</v>
      </c>
      <c r="P17" s="12" t="str">
        <f aca="false">IF(ROUND(O17*100,0)=H17,"","differs")</f>
        <v/>
      </c>
    </row>
    <row r="18" customFormat="false" ht="15" hidden="false" customHeight="false" outlineLevel="0" collapsed="false">
      <c r="A18" s="11" t="s">
        <v>205</v>
      </c>
      <c r="B18" s="12" t="s">
        <v>203</v>
      </c>
      <c r="C18" s="18" t="n">
        <v>2165.24</v>
      </c>
      <c r="D18" s="17" t="n">
        <v>0.2</v>
      </c>
      <c r="E18" s="20" t="n">
        <f aca="false">ROUND(C18*100,0)</f>
        <v>216524</v>
      </c>
      <c r="F18" s="20" t="n">
        <f aca="false">IF(D18="",0,ROUND(D18*10000,0))</f>
        <v>2000</v>
      </c>
      <c r="G18" s="23" t="n">
        <f aca="false">E18*F18/10000</f>
        <v>43304.8</v>
      </c>
      <c r="H18" s="20" t="n">
        <f aca="false">ROUND(G18,0)</f>
        <v>43305</v>
      </c>
      <c r="I18" s="22" t="n">
        <f aca="false">H18/100</f>
        <v>433.05</v>
      </c>
      <c r="J18" s="22" t="n">
        <f aca="false">(E18+H18)/100</f>
        <v>2598.29</v>
      </c>
      <c r="K18" s="18" t="n">
        <v>433.05</v>
      </c>
      <c r="L18" s="18" t="n">
        <v>2598.29</v>
      </c>
      <c r="M18" s="12" t="str">
        <f aca="false">IF(AND(ROUND(I18*100,0)=ROUND(K18*100,0),ROUND(J18*100,0)=ROUND(L18*100,0)),"yes","NO")</f>
        <v>yes</v>
      </c>
      <c r="N18" s="11" t="str">
        <f aca="false">IF(ABS(G18-TRUNC(G18))=0.5,"tie","")</f>
        <v/>
      </c>
      <c r="O18" s="22" t="n">
        <f aca="false">IF(N18="tie",IF(MOD(ABS(TRUNC(G18)),2)=0,TRUNC(G18),TRUNC(G18)+SIGN(G18)),H18)/100</f>
        <v>433.05</v>
      </c>
      <c r="P18" s="12" t="str">
        <f aca="false">IF(ROUND(O18*100,0)=H18,"","differs")</f>
        <v/>
      </c>
    </row>
    <row r="19" customFormat="false" ht="15" hidden="false" customHeight="false" outlineLevel="0" collapsed="false">
      <c r="A19" s="11" t="s">
        <v>208</v>
      </c>
      <c r="B19" s="12" t="s">
        <v>206</v>
      </c>
      <c r="C19" s="18" t="n">
        <v>36.75</v>
      </c>
      <c r="D19" s="17" t="n">
        <v>0.05</v>
      </c>
      <c r="E19" s="20" t="n">
        <f aca="false">ROUND(C19*100,0)</f>
        <v>3675</v>
      </c>
      <c r="F19" s="20" t="n">
        <f aca="false">IF(D19="",0,ROUND(D19*10000,0))</f>
        <v>500</v>
      </c>
      <c r="G19" s="23" t="n">
        <f aca="false">E19*F19/10000</f>
        <v>183.75</v>
      </c>
      <c r="H19" s="20" t="n">
        <f aca="false">ROUND(G19,0)</f>
        <v>184</v>
      </c>
      <c r="I19" s="22" t="n">
        <f aca="false">H19/100</f>
        <v>1.84</v>
      </c>
      <c r="J19" s="22" t="n">
        <f aca="false">(E19+H19)/100</f>
        <v>38.59</v>
      </c>
      <c r="K19" s="18" t="n">
        <v>1.84</v>
      </c>
      <c r="L19" s="18" t="n">
        <v>38.59</v>
      </c>
      <c r="M19" s="12" t="str">
        <f aca="false">IF(AND(ROUND(I19*100,0)=ROUND(K19*100,0),ROUND(J19*100,0)=ROUND(L19*100,0)),"yes","NO")</f>
        <v>yes</v>
      </c>
      <c r="N19" s="11" t="str">
        <f aca="false">IF(ABS(G19-TRUNC(G19))=0.5,"tie","")</f>
        <v/>
      </c>
      <c r="O19" s="22" t="n">
        <f aca="false">IF(N19="tie",IF(MOD(ABS(TRUNC(G19)),2)=0,TRUNC(G19),TRUNC(G19)+SIGN(G19)),H19)/100</f>
        <v>1.84</v>
      </c>
      <c r="P19" s="12" t="str">
        <f aca="false">IF(ROUND(O19*100,0)=H19,"","differs")</f>
        <v/>
      </c>
    </row>
    <row r="20" customFormat="false" ht="15" hidden="false" customHeight="false" outlineLevel="0" collapsed="false">
      <c r="A20" s="11" t="s">
        <v>211</v>
      </c>
      <c r="B20" s="12" t="s">
        <v>209</v>
      </c>
      <c r="C20" s="18" t="n">
        <v>4510.7</v>
      </c>
      <c r="D20" s="17" t="n">
        <v>0</v>
      </c>
      <c r="E20" s="20" t="n">
        <f aca="false">ROUND(C20*100,0)</f>
        <v>451070</v>
      </c>
      <c r="F20" s="20" t="n">
        <f aca="false">IF(D20="",0,ROUND(D20*10000,0))</f>
        <v>0</v>
      </c>
      <c r="G20" s="23" t="n">
        <f aca="false">E20*F20/10000</f>
        <v>0</v>
      </c>
      <c r="H20" s="20" t="n">
        <f aca="false">ROUND(G20,0)</f>
        <v>0</v>
      </c>
      <c r="I20" s="22" t="n">
        <f aca="false">H20/100</f>
        <v>0</v>
      </c>
      <c r="J20" s="22" t="n">
        <f aca="false">(E20+H20)/100</f>
        <v>4510.7</v>
      </c>
      <c r="K20" s="18" t="n">
        <v>0</v>
      </c>
      <c r="L20" s="18" t="n">
        <v>4510.7</v>
      </c>
      <c r="M20" s="12" t="str">
        <f aca="false">IF(AND(ROUND(I20*100,0)=ROUND(K20*100,0),ROUND(J20*100,0)=ROUND(L20*100,0)),"yes","NO")</f>
        <v>yes</v>
      </c>
      <c r="N20" s="11" t="str">
        <f aca="false">IF(ABS(G20-TRUNC(G20))=0.5,"tie","")</f>
        <v/>
      </c>
      <c r="O20" s="22" t="n">
        <f aca="false">IF(N20="tie",IF(MOD(ABS(TRUNC(G20)),2)=0,TRUNC(G20),TRUNC(G20)+SIGN(G20)),H20)/100</f>
        <v>0</v>
      </c>
      <c r="P20" s="12" t="str">
        <f aca="false">IF(ROUND(O20*100,0)=H20,"","differs")</f>
        <v/>
      </c>
    </row>
    <row r="21" customFormat="false" ht="15" hidden="false" customHeight="false" outlineLevel="0" collapsed="false">
      <c r="A21" s="11" t="s">
        <v>214</v>
      </c>
      <c r="B21" s="12" t="s">
        <v>212</v>
      </c>
      <c r="C21" s="18" t="n">
        <v>81822</v>
      </c>
      <c r="D21" s="17" t="n">
        <v>0.22</v>
      </c>
      <c r="E21" s="20" t="n">
        <f aca="false">ROUND(C21*100,0)</f>
        <v>8182200</v>
      </c>
      <c r="F21" s="20" t="n">
        <f aca="false">IF(D21="",0,ROUND(D21*10000,0))</f>
        <v>2200</v>
      </c>
      <c r="G21" s="23" t="n">
        <f aca="false">E21*F21/10000</f>
        <v>1800084</v>
      </c>
      <c r="H21" s="20" t="n">
        <f aca="false">ROUND(G21,0)</f>
        <v>1800084</v>
      </c>
      <c r="I21" s="22" t="n">
        <f aca="false">H21/100</f>
        <v>18000.84</v>
      </c>
      <c r="J21" s="22" t="n">
        <f aca="false">(E21+H21)/100</f>
        <v>99822.84</v>
      </c>
      <c r="K21" s="18" t="n">
        <v>18000.84</v>
      </c>
      <c r="L21" s="18" t="n">
        <v>99822.84</v>
      </c>
      <c r="M21" s="12" t="str">
        <f aca="false">IF(AND(ROUND(I21*100,0)=ROUND(K21*100,0),ROUND(J21*100,0)=ROUND(L21*100,0)),"yes","NO")</f>
        <v>yes</v>
      </c>
      <c r="N21" s="11" t="str">
        <f aca="false">IF(ABS(G21-TRUNC(G21))=0.5,"tie","")</f>
        <v/>
      </c>
      <c r="O21" s="22" t="n">
        <f aca="false">IF(N21="tie",IF(MOD(ABS(TRUNC(G21)),2)=0,TRUNC(G21),TRUNC(G21)+SIGN(G21)),H21)/100</f>
        <v>18000.84</v>
      </c>
      <c r="P21" s="12" t="str">
        <f aca="false">IF(ROUND(O21*100,0)=H21,"","differs")</f>
        <v/>
      </c>
    </row>
    <row r="22" customFormat="false" ht="15" hidden="false" customHeight="false" outlineLevel="0" collapsed="false">
      <c r="A22" s="11" t="s">
        <v>217</v>
      </c>
      <c r="B22" s="12" t="s">
        <v>215</v>
      </c>
      <c r="C22" s="18" t="n">
        <v>9.99</v>
      </c>
      <c r="D22" s="17"/>
      <c r="E22" s="20" t="n">
        <f aca="false">ROUND(C22*100,0)</f>
        <v>999</v>
      </c>
      <c r="F22" s="20" t="n">
        <f aca="false">IF(D22="",0,ROUND(D22*10000,0))</f>
        <v>0</v>
      </c>
      <c r="G22" s="23" t="n">
        <f aca="false">E22*F22/10000</f>
        <v>0</v>
      </c>
      <c r="H22" s="20" t="n">
        <f aca="false">ROUND(G22,0)</f>
        <v>0</v>
      </c>
      <c r="I22" s="22" t="n">
        <f aca="false">H22/100</f>
        <v>0</v>
      </c>
      <c r="J22" s="22" t="n">
        <f aca="false">(E22+H22)/100</f>
        <v>9.99</v>
      </c>
      <c r="K22" s="18" t="n">
        <v>0</v>
      </c>
      <c r="L22" s="18" t="n">
        <v>9.99</v>
      </c>
      <c r="M22" s="12" t="str">
        <f aca="false">IF(AND(ROUND(I22*100,0)=ROUND(K22*100,0),ROUND(J22*100,0)=ROUND(L22*100,0)),"yes","NO")</f>
        <v>yes</v>
      </c>
      <c r="N22" s="11" t="str">
        <f aca="false">IF(ABS(G22-TRUNC(G22))=0.5,"tie","")</f>
        <v/>
      </c>
      <c r="O22" s="22" t="n">
        <f aca="false">IF(N22="tie",IF(MOD(ABS(TRUNC(G22)),2)=0,TRUNC(G22),TRUNC(G22)+SIGN(G22)),H22)/100</f>
        <v>0</v>
      </c>
      <c r="P22" s="12" t="str">
        <f aca="false">IF(ROUND(O22*100,0)=H22,"","differs")</f>
        <v/>
      </c>
    </row>
    <row r="23" customFormat="false" ht="15" hidden="false" customHeight="false" outlineLevel="0" collapsed="false">
      <c r="A23" s="11" t="s">
        <v>403</v>
      </c>
      <c r="B23" s="12" t="s">
        <v>120</v>
      </c>
      <c r="C23" s="18" t="n">
        <v>861.52</v>
      </c>
      <c r="D23" s="17" t="n">
        <v>0.2</v>
      </c>
      <c r="E23" s="20" t="n">
        <f aca="false">ROUND(C23*100,0)</f>
        <v>86152</v>
      </c>
      <c r="F23" s="20" t="n">
        <f aca="false">IF(D23="",0,ROUND(D23*10000,0))</f>
        <v>2000</v>
      </c>
      <c r="G23" s="23" t="n">
        <f aca="false">E23*F23/10000</f>
        <v>17230.4</v>
      </c>
      <c r="H23" s="20" t="n">
        <f aca="false">ROUND(G23,0)</f>
        <v>17230</v>
      </c>
      <c r="I23" s="22" t="n">
        <f aca="false">H23/100</f>
        <v>172.3</v>
      </c>
      <c r="J23" s="22" t="n">
        <f aca="false">(E23+H23)/100</f>
        <v>1033.82</v>
      </c>
      <c r="K23" s="18" t="n">
        <v>172.3</v>
      </c>
      <c r="L23" s="18" t="n">
        <v>1033.82</v>
      </c>
      <c r="M23" s="12" t="str">
        <f aca="false">IF(AND(ROUND(I23*100,0)=ROUND(K23*100,0),ROUND(J23*100,0)=ROUND(L23*100,0)),"yes","NO")</f>
        <v>yes</v>
      </c>
      <c r="N23" s="11" t="str">
        <f aca="false">IF(ABS(G23-TRUNC(G23))=0.5,"tie","")</f>
        <v/>
      </c>
      <c r="O23" s="22" t="n">
        <f aca="false">IF(N23="tie",IF(MOD(ABS(TRUNC(G23)),2)=0,TRUNC(G23),TRUNC(G23)+SIGN(G23)),H23)/100</f>
        <v>172.3</v>
      </c>
      <c r="P23" s="12" t="str">
        <f aca="false">IF(ROUND(O23*100,0)=H23,"","differs")</f>
        <v/>
      </c>
    </row>
    <row r="25" customFormat="false" ht="15" hidden="false" customHeight="false" outlineLevel="0" collapsed="false">
      <c r="A25" s="11" t="s">
        <v>445</v>
      </c>
      <c r="M25" s="12" t="n">
        <f aca="false">COUNTA(A2:A23)</f>
        <v>22</v>
      </c>
    </row>
    <row r="26" customFormat="false" ht="15" hidden="false" customHeight="false" outlineLevel="0" collapsed="false">
      <c r="A26" s="11" t="s">
        <v>446</v>
      </c>
      <c r="M26" s="12" t="n">
        <f aca="false">COUNTIF(M2:M23,"yes")</f>
        <v>22</v>
      </c>
    </row>
    <row r="27" customFormat="false" ht="15" hidden="false" customHeight="false" outlineLevel="0" collapsed="false">
      <c r="A27" s="11" t="s">
        <v>447</v>
      </c>
      <c r="M27" s="12" t="n">
        <f aca="false">COUNTIF(N2:N23,"tie")</f>
        <v>3</v>
      </c>
    </row>
    <row r="28" customFormat="false" ht="15" hidden="false" customHeight="false" outlineLevel="0" collapsed="false">
      <c r="A28" s="11" t="s">
        <v>444</v>
      </c>
      <c r="M28" s="12" t="n">
        <f aca="false">COUNTIF(P2:P23,"differs")</f>
        <v>3</v>
      </c>
    </row>
    <row r="30" customFormat="false" ht="15" hidden="false" customHeight="false" outlineLevel="0" collapsed="false">
      <c r="A30" s="2"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6" min="3" style="0" width="12"/>
    <col collapsed="false" customWidth="true" hidden="false" outlineLevel="0" max="7" min="7" style="0" width="13"/>
    <col collapsed="false" customWidth="true" hidden="false" outlineLevel="0" max="8" min="8" style="0" width="18"/>
    <col collapsed="false" customWidth="true" hidden="false" outlineLevel="0" max="9" min="9" style="0" width="15"/>
    <col collapsed="false" customWidth="true" hidden="false" outlineLevel="0" max="10" min="10" style="0" width="14"/>
    <col collapsed="false" customWidth="true" hidden="false" outlineLevel="0" max="11" min="11" style="0" width="17"/>
    <col collapsed="false" customWidth="true" hidden="false" outlineLevel="0" max="12" min="12" style="0" width="19"/>
    <col collapsed="false" customWidth="true" hidden="false" outlineLevel="0" max="13" min="13" style="0" width="12"/>
    <col collapsed="false" customWidth="true" hidden="false" outlineLevel="0" max="15" min="14" style="0" width="14"/>
    <col collapsed="false" customWidth="true" hidden="false" outlineLevel="0" max="16" min="16" style="0" width="24"/>
  </cols>
  <sheetData>
    <row r="1" customFormat="false" ht="15" hidden="false" customHeight="false" outlineLevel="0" collapsed="false">
      <c r="A1" s="7" t="s">
        <v>231</v>
      </c>
      <c r="B1" s="7" t="s">
        <v>449</v>
      </c>
      <c r="C1" s="7" t="s">
        <v>450</v>
      </c>
      <c r="D1" s="7" t="s">
        <v>451</v>
      </c>
      <c r="E1" s="7" t="s">
        <v>452</v>
      </c>
      <c r="F1" s="7" t="s">
        <v>453</v>
      </c>
      <c r="G1" s="7" t="s">
        <v>454</v>
      </c>
      <c r="H1" s="7" t="s">
        <v>455</v>
      </c>
      <c r="I1" s="7" t="s">
        <v>456</v>
      </c>
      <c r="J1" s="7" t="s">
        <v>457</v>
      </c>
      <c r="K1" s="7" t="s">
        <v>458</v>
      </c>
      <c r="L1" s="7" t="s">
        <v>459</v>
      </c>
      <c r="M1" s="7" t="s">
        <v>460</v>
      </c>
      <c r="N1" s="7" t="s">
        <v>461</v>
      </c>
      <c r="O1" s="7" t="s">
        <v>462</v>
      </c>
      <c r="P1" s="7" t="s">
        <v>463</v>
      </c>
    </row>
    <row r="2" customFormat="false" ht="15" hidden="false" customHeight="false" outlineLevel="0" collapsed="false">
      <c r="A2" s="13" t="s">
        <v>252</v>
      </c>
      <c r="B2" s="13" t="s">
        <v>464</v>
      </c>
      <c r="C2" s="13" t="s">
        <v>465</v>
      </c>
      <c r="D2" s="13" t="s">
        <v>466</v>
      </c>
      <c r="E2" s="13" t="s">
        <v>467</v>
      </c>
      <c r="F2" s="13" t="s">
        <v>468</v>
      </c>
      <c r="G2" s="13" t="s">
        <v>469</v>
      </c>
      <c r="H2" s="13" t="s">
        <v>255</v>
      </c>
      <c r="I2" s="13" t="s">
        <v>470</v>
      </c>
      <c r="J2" s="18" t="n">
        <v>40000</v>
      </c>
      <c r="K2" s="13" t="s">
        <v>471</v>
      </c>
      <c r="L2" s="13"/>
      <c r="M2" s="13" t="s">
        <v>472</v>
      </c>
      <c r="N2" s="13" t="s">
        <v>473</v>
      </c>
      <c r="O2" s="13" t="s">
        <v>474</v>
      </c>
      <c r="P2" s="24" t="n">
        <f aca="false">COUNTIF($A$2:$A$12,A2)</f>
        <v>1</v>
      </c>
    </row>
    <row r="3" customFormat="false" ht="15" hidden="false" customHeight="false" outlineLevel="0" collapsed="false">
      <c r="A3" s="13" t="s">
        <v>277</v>
      </c>
      <c r="B3" s="13" t="s">
        <v>475</v>
      </c>
      <c r="C3" s="13" t="s">
        <v>476</v>
      </c>
      <c r="D3" s="13" t="s">
        <v>477</v>
      </c>
      <c r="E3" s="13" t="s">
        <v>467</v>
      </c>
      <c r="F3" s="13" t="s">
        <v>478</v>
      </c>
      <c r="G3" s="13" t="s">
        <v>479</v>
      </c>
      <c r="H3" s="13" t="s">
        <v>255</v>
      </c>
      <c r="I3" s="13" t="s">
        <v>480</v>
      </c>
      <c r="J3" s="18" t="n">
        <v>250000</v>
      </c>
      <c r="K3" s="13" t="s">
        <v>481</v>
      </c>
      <c r="L3" s="13"/>
      <c r="M3" s="13" t="s">
        <v>472</v>
      </c>
      <c r="N3" s="13" t="s">
        <v>473</v>
      </c>
      <c r="O3" s="13" t="s">
        <v>474</v>
      </c>
      <c r="P3" s="24" t="n">
        <f aca="false">COUNTIF($A$2:$A$12,A3)</f>
        <v>1</v>
      </c>
    </row>
    <row r="4" customFormat="false" ht="15" hidden="false" customHeight="false" outlineLevel="0" collapsed="false">
      <c r="A4" s="13" t="s">
        <v>372</v>
      </c>
      <c r="B4" s="13" t="s">
        <v>482</v>
      </c>
      <c r="C4" s="13" t="s">
        <v>483</v>
      </c>
      <c r="D4" s="13" t="s">
        <v>484</v>
      </c>
      <c r="E4" s="13" t="s">
        <v>467</v>
      </c>
      <c r="F4" s="13" t="s">
        <v>485</v>
      </c>
      <c r="G4" s="13" t="s">
        <v>486</v>
      </c>
      <c r="H4" s="13" t="s">
        <v>375</v>
      </c>
      <c r="I4" s="13" t="s">
        <v>487</v>
      </c>
      <c r="J4" s="18" t="n">
        <v>600000</v>
      </c>
      <c r="K4" s="13" t="s">
        <v>488</v>
      </c>
      <c r="L4" s="13"/>
      <c r="M4" s="13" t="s">
        <v>472</v>
      </c>
      <c r="N4" s="13" t="s">
        <v>473</v>
      </c>
      <c r="O4" s="13" t="s">
        <v>474</v>
      </c>
      <c r="P4" s="24" t="n">
        <f aca="false">COUNTIF($A$2:$A$12,A4)</f>
        <v>1</v>
      </c>
    </row>
    <row r="5" customFormat="false" ht="15" hidden="false" customHeight="false" outlineLevel="0" collapsed="false">
      <c r="A5" s="13" t="s">
        <v>262</v>
      </c>
      <c r="B5" s="13" t="s">
        <v>489</v>
      </c>
      <c r="C5" s="13" t="s">
        <v>490</v>
      </c>
      <c r="D5" s="13" t="s">
        <v>491</v>
      </c>
      <c r="E5" s="13" t="s">
        <v>492</v>
      </c>
      <c r="F5" s="13" t="s">
        <v>493</v>
      </c>
      <c r="G5" s="13" t="s">
        <v>494</v>
      </c>
      <c r="H5" s="13" t="s">
        <v>264</v>
      </c>
      <c r="I5" s="13" t="s">
        <v>495</v>
      </c>
      <c r="J5" s="18" t="n">
        <v>90000</v>
      </c>
      <c r="K5" s="13" t="s">
        <v>496</v>
      </c>
      <c r="L5" s="13"/>
      <c r="M5" s="13" t="s">
        <v>472</v>
      </c>
      <c r="N5" s="13" t="s">
        <v>473</v>
      </c>
      <c r="O5" s="13" t="s">
        <v>474</v>
      </c>
      <c r="P5" s="24" t="n">
        <f aca="false">COUNTIF($A$2:$A$12,A5)</f>
        <v>1</v>
      </c>
    </row>
    <row r="6" customFormat="false" ht="15" hidden="false" customHeight="false" outlineLevel="0" collapsed="false">
      <c r="A6" s="13" t="s">
        <v>387</v>
      </c>
      <c r="B6" s="13" t="s">
        <v>497</v>
      </c>
      <c r="C6" s="13" t="s">
        <v>498</v>
      </c>
      <c r="D6" s="13" t="s">
        <v>499</v>
      </c>
      <c r="E6" s="13" t="s">
        <v>467</v>
      </c>
      <c r="F6" s="13" t="s">
        <v>500</v>
      </c>
      <c r="G6" s="13" t="s">
        <v>501</v>
      </c>
      <c r="H6" s="13" t="s">
        <v>255</v>
      </c>
      <c r="I6" s="13" t="s">
        <v>487</v>
      </c>
      <c r="J6" s="18" t="n">
        <v>2000000</v>
      </c>
      <c r="K6" s="13" t="s">
        <v>502</v>
      </c>
      <c r="L6" s="13"/>
      <c r="M6" s="13" t="s">
        <v>472</v>
      </c>
      <c r="N6" s="13" t="s">
        <v>473</v>
      </c>
      <c r="O6" s="13" t="s">
        <v>474</v>
      </c>
      <c r="P6" s="24" t="n">
        <f aca="false">COUNTIF($A$2:$A$12,A6)</f>
        <v>1</v>
      </c>
    </row>
    <row r="7" customFormat="false" ht="15" hidden="false" customHeight="false" outlineLevel="0" collapsed="false">
      <c r="A7" s="13" t="s">
        <v>283</v>
      </c>
      <c r="B7" s="13" t="s">
        <v>503</v>
      </c>
      <c r="C7" s="13" t="s">
        <v>465</v>
      </c>
      <c r="D7" s="13" t="s">
        <v>504</v>
      </c>
      <c r="E7" s="13" t="s">
        <v>467</v>
      </c>
      <c r="F7" s="13" t="s">
        <v>505</v>
      </c>
      <c r="G7" s="13" t="s">
        <v>506</v>
      </c>
      <c r="H7" s="13" t="s">
        <v>255</v>
      </c>
      <c r="I7" s="13" t="s">
        <v>470</v>
      </c>
      <c r="J7" s="18" t="n">
        <v>35000</v>
      </c>
      <c r="K7" s="13" t="s">
        <v>471</v>
      </c>
      <c r="L7" s="13"/>
      <c r="M7" s="13" t="s">
        <v>472</v>
      </c>
      <c r="N7" s="13" t="s">
        <v>473</v>
      </c>
      <c r="O7" s="13" t="s">
        <v>474</v>
      </c>
      <c r="P7" s="24" t="n">
        <f aca="false">COUNTIF($A$2:$A$12,A7)</f>
        <v>1</v>
      </c>
    </row>
    <row r="8" customFormat="false" ht="15" hidden="false" customHeight="false" outlineLevel="0" collapsed="false">
      <c r="A8" s="13" t="s">
        <v>336</v>
      </c>
      <c r="B8" s="13" t="s">
        <v>507</v>
      </c>
      <c r="C8" s="13" t="s">
        <v>476</v>
      </c>
      <c r="D8" s="13" t="s">
        <v>508</v>
      </c>
      <c r="E8" s="13" t="s">
        <v>467</v>
      </c>
      <c r="F8" s="13" t="s">
        <v>509</v>
      </c>
      <c r="G8" s="13" t="s">
        <v>510</v>
      </c>
      <c r="H8" s="13" t="s">
        <v>255</v>
      </c>
      <c r="I8" s="13" t="s">
        <v>480</v>
      </c>
      <c r="J8" s="18" t="n">
        <v>180000</v>
      </c>
      <c r="K8" s="13" t="s">
        <v>511</v>
      </c>
      <c r="L8" s="13"/>
      <c r="M8" s="13" t="s">
        <v>472</v>
      </c>
      <c r="N8" s="13" t="s">
        <v>473</v>
      </c>
      <c r="O8" s="13" t="s">
        <v>474</v>
      </c>
      <c r="P8" s="24" t="n">
        <f aca="false">COUNTIF($A$2:$A$12,A8)</f>
        <v>2</v>
      </c>
    </row>
    <row r="9" customFormat="false" ht="15" hidden="false" customHeight="false" outlineLevel="0" collapsed="false">
      <c r="A9" s="13" t="s">
        <v>336</v>
      </c>
      <c r="B9" s="13" t="s">
        <v>507</v>
      </c>
      <c r="C9" s="13" t="s">
        <v>483</v>
      </c>
      <c r="D9" s="13" t="s">
        <v>508</v>
      </c>
      <c r="E9" s="13" t="s">
        <v>467</v>
      </c>
      <c r="F9" s="13" t="s">
        <v>512</v>
      </c>
      <c r="G9" s="13" t="s">
        <v>513</v>
      </c>
      <c r="H9" s="13" t="s">
        <v>255</v>
      </c>
      <c r="I9" s="13" t="s">
        <v>480</v>
      </c>
      <c r="J9" s="18" t="n">
        <v>185000</v>
      </c>
      <c r="K9" s="13" t="s">
        <v>511</v>
      </c>
      <c r="L9" s="13"/>
      <c r="M9" s="13" t="s">
        <v>472</v>
      </c>
      <c r="N9" s="13" t="s">
        <v>473</v>
      </c>
      <c r="O9" s="13" t="s">
        <v>514</v>
      </c>
      <c r="P9" s="24" t="n">
        <f aca="false">COUNTIF($A$2:$A$12,A9)</f>
        <v>2</v>
      </c>
    </row>
    <row r="10" customFormat="false" ht="15" hidden="false" customHeight="false" outlineLevel="0" collapsed="false">
      <c r="A10" s="13" t="s">
        <v>378</v>
      </c>
      <c r="B10" s="13" t="s">
        <v>515</v>
      </c>
      <c r="C10" s="13" t="s">
        <v>465</v>
      </c>
      <c r="D10" s="13" t="s">
        <v>516</v>
      </c>
      <c r="E10" s="13" t="s">
        <v>492</v>
      </c>
      <c r="F10" s="13" t="s">
        <v>517</v>
      </c>
      <c r="G10" s="13" t="s">
        <v>518</v>
      </c>
      <c r="H10" s="13" t="s">
        <v>379</v>
      </c>
      <c r="I10" s="13" t="s">
        <v>470</v>
      </c>
      <c r="J10" s="18" t="n">
        <v>55000</v>
      </c>
      <c r="K10" s="13" t="s">
        <v>519</v>
      </c>
      <c r="L10" s="13"/>
      <c r="M10" s="13" t="s">
        <v>472</v>
      </c>
      <c r="N10" s="13" t="s">
        <v>473</v>
      </c>
      <c r="O10" s="13" t="s">
        <v>474</v>
      </c>
      <c r="P10" s="24" t="n">
        <f aca="false">COUNTIF($A$2:$A$12,A10)</f>
        <v>1</v>
      </c>
    </row>
    <row r="11" customFormat="false" ht="15" hidden="false" customHeight="false" outlineLevel="0" collapsed="false">
      <c r="A11" s="13" t="s">
        <v>382</v>
      </c>
      <c r="B11" s="13" t="s">
        <v>520</v>
      </c>
      <c r="C11" s="13" t="s">
        <v>483</v>
      </c>
      <c r="D11" s="13" t="s">
        <v>521</v>
      </c>
      <c r="E11" s="13" t="s">
        <v>467</v>
      </c>
      <c r="F11" s="13" t="s">
        <v>522</v>
      </c>
      <c r="G11" s="13" t="s">
        <v>523</v>
      </c>
      <c r="H11" s="13" t="s">
        <v>384</v>
      </c>
      <c r="I11" s="13" t="s">
        <v>480</v>
      </c>
      <c r="J11" s="18" t="n">
        <v>700000</v>
      </c>
      <c r="K11" s="13" t="s">
        <v>524</v>
      </c>
      <c r="L11" s="13"/>
      <c r="M11" s="13" t="s">
        <v>472</v>
      </c>
      <c r="N11" s="13" t="s">
        <v>473</v>
      </c>
      <c r="O11" s="13" t="s">
        <v>474</v>
      </c>
      <c r="P11" s="24" t="n">
        <f aca="false">COUNTIF($A$2:$A$12,A11)</f>
        <v>1</v>
      </c>
    </row>
    <row r="12" customFormat="false" ht="15" hidden="false" customHeight="false" outlineLevel="0" collapsed="false">
      <c r="A12" s="13" t="s">
        <v>268</v>
      </c>
      <c r="B12" s="13" t="s">
        <v>525</v>
      </c>
      <c r="C12" s="13" t="s">
        <v>476</v>
      </c>
      <c r="D12" s="13" t="s">
        <v>466</v>
      </c>
      <c r="E12" s="13" t="s">
        <v>467</v>
      </c>
      <c r="F12" s="13" t="s">
        <v>526</v>
      </c>
      <c r="G12" s="13" t="s">
        <v>527</v>
      </c>
      <c r="H12" s="13" t="s">
        <v>255</v>
      </c>
      <c r="I12" s="13" t="s">
        <v>480</v>
      </c>
      <c r="J12" s="18" t="n">
        <v>120000</v>
      </c>
      <c r="K12" s="13" t="s">
        <v>481</v>
      </c>
      <c r="L12" s="13" t="s">
        <v>252</v>
      </c>
      <c r="M12" s="13" t="s">
        <v>472</v>
      </c>
      <c r="N12" s="13" t="s">
        <v>473</v>
      </c>
      <c r="O12" s="13" t="s">
        <v>474</v>
      </c>
      <c r="P12" s="24" t="n">
        <f aca="false">COUNTIF($A$2:$A$12,A12)</f>
        <v>1</v>
      </c>
    </row>
    <row r="14" customFormat="false" ht="15" hidden="false" customHeight="false" outlineLevel="0" collapsed="false">
      <c r="A14" s="11" t="s">
        <v>528</v>
      </c>
      <c r="P14" s="24" t="n">
        <f aca="false">SUMPRODUCT((P2:P12&gt;1)/P2:P12)</f>
        <v>1</v>
      </c>
    </row>
    <row r="16" customFormat="false" ht="15" hidden="false" customHeight="false" outlineLevel="0" collapsed="false">
      <c r="A16" s="2"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6" min="5" style="0" width="18"/>
    <col collapsed="false" customWidth="true" hidden="false" outlineLevel="0" max="7" min="7" style="0" width="16"/>
    <col collapsed="false" customWidth="true" hidden="false" outlineLevel="0" max="8" min="8" style="0" width="12"/>
    <col collapsed="false" customWidth="true" hidden="false" outlineLevel="0" max="9" min="9" style="0" width="20"/>
    <col collapsed="false" customWidth="true" hidden="false" outlineLevel="0" max="12" min="10" style="0" width="12"/>
    <col collapsed="false" customWidth="true" hidden="false" outlineLevel="0" max="13" min="13" style="0" width="13"/>
    <col collapsed="false" customWidth="true" hidden="false" outlineLevel="0" max="14" min="14" style="0" width="14"/>
    <col collapsed="false" customWidth="true" hidden="false" outlineLevel="0" max="15" min="15" style="0" width="24"/>
  </cols>
  <sheetData>
    <row r="1" customFormat="false" ht="15" hidden="false" customHeight="false" outlineLevel="0" collapsed="false">
      <c r="A1" s="7" t="s">
        <v>232</v>
      </c>
      <c r="B1" s="7" t="s">
        <v>530</v>
      </c>
      <c r="C1" s="7" t="s">
        <v>531</v>
      </c>
      <c r="D1" s="7" t="s">
        <v>532</v>
      </c>
      <c r="E1" s="7" t="s">
        <v>533</v>
      </c>
      <c r="F1" s="7" t="s">
        <v>534</v>
      </c>
      <c r="G1" s="7" t="s">
        <v>535</v>
      </c>
      <c r="H1" s="7" t="s">
        <v>536</v>
      </c>
      <c r="I1" s="7" t="s">
        <v>537</v>
      </c>
      <c r="J1" s="7" t="s">
        <v>538</v>
      </c>
      <c r="K1" s="7" t="s">
        <v>229</v>
      </c>
      <c r="L1" s="7" t="s">
        <v>539</v>
      </c>
      <c r="M1" s="7" t="s">
        <v>540</v>
      </c>
      <c r="N1" s="7" t="s">
        <v>462</v>
      </c>
      <c r="O1" s="7" t="s">
        <v>541</v>
      </c>
    </row>
    <row r="2" customFormat="false" ht="15" hidden="false" customHeight="false" outlineLevel="0" collapsed="false">
      <c r="A2" s="13" t="s">
        <v>253</v>
      </c>
      <c r="B2" s="13" t="s">
        <v>542</v>
      </c>
      <c r="C2" s="13" t="s">
        <v>543</v>
      </c>
      <c r="D2" s="13" t="s">
        <v>544</v>
      </c>
      <c r="E2" s="13" t="s">
        <v>545</v>
      </c>
      <c r="F2" s="25" t="n">
        <v>16</v>
      </c>
      <c r="G2" s="13" t="s">
        <v>546</v>
      </c>
      <c r="H2" s="17" t="n">
        <v>104.9</v>
      </c>
      <c r="I2" s="13" t="s">
        <v>255</v>
      </c>
      <c r="J2" s="13" t="s">
        <v>547</v>
      </c>
      <c r="K2" s="13" t="s">
        <v>548</v>
      </c>
      <c r="L2" s="16" t="n">
        <v>8.9</v>
      </c>
      <c r="M2" s="13" t="s">
        <v>549</v>
      </c>
      <c r="N2" s="13" t="s">
        <v>474</v>
      </c>
      <c r="O2" s="24" t="n">
        <f aca="false">COUNTIF($A$2:$A$10,A2)</f>
        <v>1</v>
      </c>
    </row>
    <row r="3" customFormat="false" ht="15" hidden="false" customHeight="false" outlineLevel="0" collapsed="false">
      <c r="A3" s="13" t="s">
        <v>278</v>
      </c>
      <c r="B3" s="13" t="s">
        <v>550</v>
      </c>
      <c r="C3" s="13" t="s">
        <v>551</v>
      </c>
      <c r="D3" s="13" t="s">
        <v>552</v>
      </c>
      <c r="E3" s="13" t="s">
        <v>553</v>
      </c>
      <c r="F3" s="25" t="n">
        <v>22.5</v>
      </c>
      <c r="G3" s="13" t="s">
        <v>546</v>
      </c>
      <c r="H3" s="17" t="n">
        <v>489.5</v>
      </c>
      <c r="I3" s="13" t="s">
        <v>255</v>
      </c>
      <c r="J3" s="13" t="s">
        <v>547</v>
      </c>
      <c r="K3" s="13" t="s">
        <v>548</v>
      </c>
      <c r="L3" s="16" t="n">
        <v>62.4</v>
      </c>
      <c r="M3" s="13" t="s">
        <v>549</v>
      </c>
      <c r="N3" s="13" t="s">
        <v>474</v>
      </c>
      <c r="O3" s="24" t="n">
        <f aca="false">COUNTIF($A$2:$A$10,A3)</f>
        <v>1</v>
      </c>
    </row>
    <row r="4" customFormat="false" ht="15" hidden="false" customHeight="false" outlineLevel="0" collapsed="false">
      <c r="A4" s="13" t="s">
        <v>260</v>
      </c>
      <c r="B4" s="13" t="s">
        <v>554</v>
      </c>
      <c r="C4" s="13" t="s">
        <v>555</v>
      </c>
      <c r="D4" s="13" t="s">
        <v>556</v>
      </c>
      <c r="E4" s="13"/>
      <c r="F4" s="25"/>
      <c r="G4" s="13" t="s">
        <v>557</v>
      </c>
      <c r="H4" s="17" t="n">
        <v>12.25</v>
      </c>
      <c r="I4" s="13" t="s">
        <v>255</v>
      </c>
      <c r="J4" s="13" t="s">
        <v>547</v>
      </c>
      <c r="K4" s="13" t="s">
        <v>548</v>
      </c>
      <c r="L4" s="16"/>
      <c r="M4" s="13" t="s">
        <v>549</v>
      </c>
      <c r="N4" s="13" t="s">
        <v>474</v>
      </c>
      <c r="O4" s="24" t="n">
        <f aca="false">COUNTIF($A$2:$A$10,A4)</f>
        <v>1</v>
      </c>
    </row>
    <row r="5" customFormat="false" ht="15" hidden="false" customHeight="false" outlineLevel="0" collapsed="false">
      <c r="A5" s="13" t="s">
        <v>269</v>
      </c>
      <c r="B5" s="13" t="s">
        <v>558</v>
      </c>
      <c r="C5" s="13" t="s">
        <v>555</v>
      </c>
      <c r="D5" s="13" t="s">
        <v>559</v>
      </c>
      <c r="E5" s="13"/>
      <c r="F5" s="25"/>
      <c r="G5" s="13" t="s">
        <v>546</v>
      </c>
      <c r="H5" s="17" t="n">
        <v>3</v>
      </c>
      <c r="I5" s="13" t="s">
        <v>255</v>
      </c>
      <c r="J5" s="13" t="s">
        <v>560</v>
      </c>
      <c r="K5" s="13" t="s">
        <v>548</v>
      </c>
      <c r="L5" s="16"/>
      <c r="M5" s="13" t="s">
        <v>549</v>
      </c>
      <c r="N5" s="13" t="s">
        <v>474</v>
      </c>
      <c r="O5" s="24" t="n">
        <f aca="false">COUNTIF($A$2:$A$10,A5)</f>
        <v>1</v>
      </c>
    </row>
    <row r="6" customFormat="false" ht="15" hidden="false" customHeight="false" outlineLevel="0" collapsed="false">
      <c r="A6" s="13" t="s">
        <v>284</v>
      </c>
      <c r="B6" s="13" t="s">
        <v>561</v>
      </c>
      <c r="C6" s="13" t="s">
        <v>562</v>
      </c>
      <c r="D6" s="13" t="s">
        <v>563</v>
      </c>
      <c r="E6" s="13"/>
      <c r="F6" s="25"/>
      <c r="G6" s="13" t="s">
        <v>546</v>
      </c>
      <c r="H6" s="17" t="n">
        <v>0.5</v>
      </c>
      <c r="I6" s="13" t="s">
        <v>255</v>
      </c>
      <c r="J6" s="13" t="s">
        <v>547</v>
      </c>
      <c r="K6" s="13" t="s">
        <v>548</v>
      </c>
      <c r="L6" s="16"/>
      <c r="M6" s="13" t="s">
        <v>549</v>
      </c>
      <c r="N6" s="13" t="s">
        <v>474</v>
      </c>
      <c r="O6" s="24" t="n">
        <f aca="false">COUNTIF($A$2:$A$10,A6)</f>
        <v>1</v>
      </c>
    </row>
    <row r="7" customFormat="false" ht="15" hidden="false" customHeight="false" outlineLevel="0" collapsed="false">
      <c r="A7" s="13" t="s">
        <v>346</v>
      </c>
      <c r="B7" s="13" t="s">
        <v>564</v>
      </c>
      <c r="C7" s="13" t="s">
        <v>565</v>
      </c>
      <c r="D7" s="13" t="s">
        <v>566</v>
      </c>
      <c r="E7" s="13" t="s">
        <v>567</v>
      </c>
      <c r="F7" s="25" t="n">
        <v>17</v>
      </c>
      <c r="G7" s="13" t="s">
        <v>546</v>
      </c>
      <c r="H7" s="17" t="n">
        <v>139</v>
      </c>
      <c r="I7" s="13" t="s">
        <v>255</v>
      </c>
      <c r="J7" s="13" t="s">
        <v>547</v>
      </c>
      <c r="K7" s="13" t="s">
        <v>548</v>
      </c>
      <c r="L7" s="16" t="n">
        <v>4.3</v>
      </c>
      <c r="M7" s="13" t="s">
        <v>549</v>
      </c>
      <c r="N7" s="13" t="s">
        <v>474</v>
      </c>
      <c r="O7" s="24" t="n">
        <f aca="false">COUNTIF($A$2:$A$10,A7)</f>
        <v>2</v>
      </c>
    </row>
    <row r="8" customFormat="false" ht="15" hidden="false" customHeight="false" outlineLevel="0" collapsed="false">
      <c r="A8" s="13" t="s">
        <v>346</v>
      </c>
      <c r="B8" s="13" t="s">
        <v>564</v>
      </c>
      <c r="C8" s="13" t="s">
        <v>565</v>
      </c>
      <c r="D8" s="13" t="s">
        <v>566</v>
      </c>
      <c r="E8" s="13" t="s">
        <v>567</v>
      </c>
      <c r="F8" s="25" t="n">
        <v>17</v>
      </c>
      <c r="G8" s="13" t="s">
        <v>546</v>
      </c>
      <c r="H8" s="17" t="n">
        <v>144.56</v>
      </c>
      <c r="I8" s="13" t="s">
        <v>255</v>
      </c>
      <c r="J8" s="13" t="s">
        <v>547</v>
      </c>
      <c r="K8" s="13" t="s">
        <v>568</v>
      </c>
      <c r="L8" s="16" t="n">
        <v>4.3</v>
      </c>
      <c r="M8" s="13" t="s">
        <v>549</v>
      </c>
      <c r="N8" s="13" t="s">
        <v>514</v>
      </c>
      <c r="O8" s="24" t="n">
        <f aca="false">COUNTIF($A$2:$A$10,A8)</f>
        <v>2</v>
      </c>
    </row>
    <row r="9" customFormat="false" ht="15" hidden="false" customHeight="false" outlineLevel="0" collapsed="false">
      <c r="A9" s="13" t="s">
        <v>373</v>
      </c>
      <c r="B9" s="13" t="s">
        <v>569</v>
      </c>
      <c r="C9" s="13" t="s">
        <v>570</v>
      </c>
      <c r="D9" s="13" t="s">
        <v>571</v>
      </c>
      <c r="E9" s="13" t="s">
        <v>572</v>
      </c>
      <c r="F9" s="25" t="n">
        <v>34</v>
      </c>
      <c r="G9" s="13" t="s">
        <v>546</v>
      </c>
      <c r="H9" s="17" t="n">
        <v>1258.86</v>
      </c>
      <c r="I9" s="13" t="s">
        <v>255</v>
      </c>
      <c r="J9" s="13" t="s">
        <v>547</v>
      </c>
      <c r="K9" s="13" t="s">
        <v>548</v>
      </c>
      <c r="L9" s="16" t="n">
        <v>92.5</v>
      </c>
      <c r="M9" s="13" t="s">
        <v>549</v>
      </c>
      <c r="N9" s="13" t="s">
        <v>474</v>
      </c>
      <c r="O9" s="24" t="n">
        <f aca="false">COUNTIF($A$2:$A$10,A9)</f>
        <v>1</v>
      </c>
    </row>
    <row r="10" customFormat="false" ht="15" hidden="false" customHeight="false" outlineLevel="0" collapsed="false">
      <c r="A10" s="13" t="s">
        <v>357</v>
      </c>
      <c r="B10" s="13" t="s">
        <v>573</v>
      </c>
      <c r="C10" s="13" t="s">
        <v>555</v>
      </c>
      <c r="D10" s="13" t="s">
        <v>574</v>
      </c>
      <c r="E10" s="13"/>
      <c r="F10" s="25"/>
      <c r="G10" s="13" t="s">
        <v>557</v>
      </c>
      <c r="H10" s="17" t="n">
        <v>29.99</v>
      </c>
      <c r="I10" s="13" t="s">
        <v>255</v>
      </c>
      <c r="J10" s="13" t="s">
        <v>575</v>
      </c>
      <c r="K10" s="13" t="s">
        <v>548</v>
      </c>
      <c r="L10" s="16"/>
      <c r="M10" s="13" t="s">
        <v>549</v>
      </c>
      <c r="N10" s="13" t="s">
        <v>474</v>
      </c>
      <c r="O10" s="24" t="n">
        <f aca="false">COUNTIF($A$2:$A$10,A10)</f>
        <v>1</v>
      </c>
    </row>
    <row r="12" customFormat="false" ht="15" hidden="false" customHeight="false" outlineLevel="0" collapsed="false">
      <c r="A12" s="11" t="s">
        <v>528</v>
      </c>
      <c r="O12" s="24" t="n">
        <f aca="false">SUMPRODUCT((O2:O10&gt;1)/O2:O10)</f>
        <v>1</v>
      </c>
    </row>
    <row r="14" customFormat="false" ht="15" hidden="false" customHeight="false" outlineLevel="0" collapsed="false">
      <c r="A14" s="2"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2"/>
    <col collapsed="false" customWidth="true" hidden="false" outlineLevel="0" max="4" min="4" style="0" width="13"/>
    <col collapsed="false" customWidth="true" hidden="false" outlineLevel="0" max="5" min="5" style="0" width="12"/>
    <col collapsed="false" customWidth="true" hidden="false" outlineLevel="0" max="7" min="6" style="0" width="18"/>
    <col collapsed="false" customWidth="true" hidden="false" outlineLevel="0" max="8" min="8" style="0" width="12"/>
    <col collapsed="false" customWidth="true" hidden="false" outlineLevel="0" max="9" min="9" style="0" width="14"/>
    <col collapsed="false" customWidth="true" hidden="false" outlineLevel="0" max="10" min="10" style="0" width="15"/>
    <col collapsed="false" customWidth="true" hidden="false" outlineLevel="0" max="11" min="11" style="0" width="12"/>
    <col collapsed="false" customWidth="true" hidden="false" outlineLevel="0" max="12" min="12" style="0" width="24"/>
    <col collapsed="false" customWidth="true" hidden="false" outlineLevel="0" max="13" min="13" style="0" width="14"/>
    <col collapsed="false" customWidth="true" hidden="false" outlineLevel="0" max="14" min="14" style="0" width="24"/>
  </cols>
  <sheetData>
    <row r="1" customFormat="false" ht="23.85" hidden="false" customHeight="false" outlineLevel="0" collapsed="false">
      <c r="A1" s="7" t="s">
        <v>233</v>
      </c>
      <c r="B1" s="7" t="s">
        <v>234</v>
      </c>
      <c r="C1" s="7" t="s">
        <v>576</v>
      </c>
      <c r="D1" s="7" t="s">
        <v>231</v>
      </c>
      <c r="E1" s="7" t="s">
        <v>232</v>
      </c>
      <c r="F1" s="7" t="s">
        <v>577</v>
      </c>
      <c r="G1" s="7" t="s">
        <v>578</v>
      </c>
      <c r="H1" s="7" t="s">
        <v>239</v>
      </c>
      <c r="I1" s="7" t="s">
        <v>579</v>
      </c>
      <c r="J1" s="7" t="s">
        <v>580</v>
      </c>
      <c r="K1" s="7" t="s">
        <v>240</v>
      </c>
      <c r="L1" s="7" t="s">
        <v>581</v>
      </c>
      <c r="M1" s="7" t="s">
        <v>462</v>
      </c>
      <c r="N1" s="7" t="s">
        <v>582</v>
      </c>
    </row>
    <row r="2" customFormat="false" ht="15" hidden="false" customHeight="false" outlineLevel="0" collapsed="false">
      <c r="A2" s="13" t="s">
        <v>254</v>
      </c>
      <c r="B2" s="14" t="n">
        <v>1</v>
      </c>
      <c r="C2" s="13" t="s">
        <v>583</v>
      </c>
      <c r="D2" s="13" t="s">
        <v>252</v>
      </c>
      <c r="E2" s="13" t="s">
        <v>253</v>
      </c>
      <c r="F2" s="16" t="n">
        <v>4</v>
      </c>
      <c r="G2" s="17" t="n">
        <v>91.7875</v>
      </c>
      <c r="H2" s="13" t="s">
        <v>255</v>
      </c>
      <c r="I2" s="13" t="s">
        <v>584</v>
      </c>
      <c r="J2" s="13" t="s">
        <v>585</v>
      </c>
      <c r="K2" s="13" t="s">
        <v>256</v>
      </c>
      <c r="L2" s="13" t="s">
        <v>586</v>
      </c>
      <c r="M2" s="13" t="s">
        <v>587</v>
      </c>
      <c r="N2" s="24" t="n">
        <f aca="false">COUNTIFS($A$2:$A$43,A2,$B$2:$B$43,B2)</f>
        <v>1</v>
      </c>
    </row>
    <row r="3" customFormat="false" ht="15" hidden="false" customHeight="false" outlineLevel="0" collapsed="false">
      <c r="A3" s="13" t="s">
        <v>254</v>
      </c>
      <c r="B3" s="14" t="n">
        <v>2</v>
      </c>
      <c r="C3" s="13" t="s">
        <v>583</v>
      </c>
      <c r="D3" s="13" t="s">
        <v>252</v>
      </c>
      <c r="E3" s="13" t="s">
        <v>260</v>
      </c>
      <c r="F3" s="16" t="n">
        <v>2.5</v>
      </c>
      <c r="G3" s="17" t="n">
        <v>12.25</v>
      </c>
      <c r="H3" s="13" t="s">
        <v>255</v>
      </c>
      <c r="I3" s="13" t="s">
        <v>584</v>
      </c>
      <c r="J3" s="13" t="s">
        <v>585</v>
      </c>
      <c r="K3" s="13" t="s">
        <v>256</v>
      </c>
      <c r="L3" s="13" t="s">
        <v>586</v>
      </c>
      <c r="M3" s="13" t="s">
        <v>587</v>
      </c>
      <c r="N3" s="24" t="n">
        <f aca="false">COUNTIFS($A$2:$A$43,A3,$B$2:$B$43,B3)</f>
        <v>1</v>
      </c>
    </row>
    <row r="4" customFormat="false" ht="15" hidden="false" customHeight="false" outlineLevel="0" collapsed="false">
      <c r="A4" s="13" t="s">
        <v>263</v>
      </c>
      <c r="B4" s="14" t="n">
        <v>1</v>
      </c>
      <c r="C4" s="13" t="s">
        <v>583</v>
      </c>
      <c r="D4" s="13" t="s">
        <v>262</v>
      </c>
      <c r="E4" s="13" t="s">
        <v>253</v>
      </c>
      <c r="F4" s="16" t="n">
        <v>8</v>
      </c>
      <c r="G4" s="17" t="n">
        <v>99.1305</v>
      </c>
      <c r="H4" s="13" t="s">
        <v>264</v>
      </c>
      <c r="I4" s="13" t="s">
        <v>584</v>
      </c>
      <c r="J4" s="13" t="s">
        <v>585</v>
      </c>
      <c r="K4" s="13" t="s">
        <v>265</v>
      </c>
      <c r="L4" s="13" t="s">
        <v>586</v>
      </c>
      <c r="M4" s="13" t="s">
        <v>587</v>
      </c>
      <c r="N4" s="24" t="n">
        <f aca="false">COUNTIFS($A$2:$A$43,A4,$B$2:$B$43,B4)</f>
        <v>1</v>
      </c>
    </row>
    <row r="5" customFormat="false" ht="15" hidden="false" customHeight="false" outlineLevel="0" collapsed="false">
      <c r="A5" s="13" t="s">
        <v>270</v>
      </c>
      <c r="B5" s="14" t="n">
        <v>1</v>
      </c>
      <c r="C5" s="13" t="s">
        <v>583</v>
      </c>
      <c r="D5" s="13" t="s">
        <v>268</v>
      </c>
      <c r="E5" s="13" t="s">
        <v>269</v>
      </c>
      <c r="F5" s="16" t="n">
        <v>1</v>
      </c>
      <c r="G5" s="17" t="n">
        <v>3</v>
      </c>
      <c r="H5" s="13" t="s">
        <v>255</v>
      </c>
      <c r="I5" s="13" t="s">
        <v>584</v>
      </c>
      <c r="J5" s="13" t="s">
        <v>585</v>
      </c>
      <c r="K5" s="13" t="s">
        <v>256</v>
      </c>
      <c r="L5" s="13" t="s">
        <v>586</v>
      </c>
      <c r="M5" s="13" t="s">
        <v>587</v>
      </c>
      <c r="N5" s="24" t="n">
        <f aca="false">COUNTIFS($A$2:$A$43,A5,$B$2:$B$43,B5)</f>
        <v>1</v>
      </c>
    </row>
    <row r="6" customFormat="false" ht="15" hidden="false" customHeight="false" outlineLevel="0" collapsed="false">
      <c r="A6" s="13" t="s">
        <v>279</v>
      </c>
      <c r="B6" s="14" t="n">
        <v>1</v>
      </c>
      <c r="C6" s="13" t="s">
        <v>583</v>
      </c>
      <c r="D6" s="13" t="s">
        <v>277</v>
      </c>
      <c r="E6" s="13" t="s">
        <v>278</v>
      </c>
      <c r="F6" s="16" t="n">
        <v>6</v>
      </c>
      <c r="G6" s="17" t="n">
        <v>416.075</v>
      </c>
      <c r="H6" s="13" t="s">
        <v>255</v>
      </c>
      <c r="I6" s="13" t="s">
        <v>584</v>
      </c>
      <c r="J6" s="13" t="s">
        <v>585</v>
      </c>
      <c r="K6" s="13" t="s">
        <v>280</v>
      </c>
      <c r="L6" s="13" t="s">
        <v>586</v>
      </c>
      <c r="M6" s="13" t="s">
        <v>587</v>
      </c>
      <c r="N6" s="24" t="n">
        <f aca="false">COUNTIFS($A$2:$A$43,A6,$B$2:$B$43,B6)</f>
        <v>1</v>
      </c>
    </row>
    <row r="7" customFormat="false" ht="15" hidden="false" customHeight="false" outlineLevel="0" collapsed="false">
      <c r="A7" s="13" t="s">
        <v>285</v>
      </c>
      <c r="B7" s="14" t="n">
        <v>1</v>
      </c>
      <c r="C7" s="13" t="s">
        <v>583</v>
      </c>
      <c r="D7" s="13" t="s">
        <v>283</v>
      </c>
      <c r="E7" s="13" t="s">
        <v>284</v>
      </c>
      <c r="F7" s="16" t="n">
        <v>1</v>
      </c>
      <c r="G7" s="17" t="n">
        <v>0.5</v>
      </c>
      <c r="H7" s="13" t="s">
        <v>255</v>
      </c>
      <c r="I7" s="13" t="s">
        <v>584</v>
      </c>
      <c r="J7" s="13" t="s">
        <v>585</v>
      </c>
      <c r="K7" s="13" t="s">
        <v>286</v>
      </c>
      <c r="L7" s="13" t="s">
        <v>586</v>
      </c>
      <c r="M7" s="13" t="s">
        <v>587</v>
      </c>
      <c r="N7" s="24" t="n">
        <f aca="false">COUNTIFS($A$2:$A$43,A7,$B$2:$B$43,B7)</f>
        <v>1</v>
      </c>
    </row>
    <row r="8" customFormat="false" ht="15" hidden="false" customHeight="false" outlineLevel="0" collapsed="false">
      <c r="A8" s="13" t="s">
        <v>289</v>
      </c>
      <c r="B8" s="14" t="n">
        <v>1</v>
      </c>
      <c r="C8" s="13" t="s">
        <v>583</v>
      </c>
      <c r="D8" s="13" t="s">
        <v>252</v>
      </c>
      <c r="E8" s="13" t="s">
        <v>253</v>
      </c>
      <c r="F8" s="16" t="n">
        <v>4</v>
      </c>
      <c r="G8" s="17" t="n">
        <v>91.7875</v>
      </c>
      <c r="H8" s="13" t="s">
        <v>255</v>
      </c>
      <c r="I8" s="13" t="s">
        <v>584</v>
      </c>
      <c r="J8" s="13" t="s">
        <v>585</v>
      </c>
      <c r="K8" s="13" t="s">
        <v>256</v>
      </c>
      <c r="L8" s="13" t="s">
        <v>586</v>
      </c>
      <c r="M8" s="13" t="s">
        <v>587</v>
      </c>
      <c r="N8" s="24" t="n">
        <f aca="false">COUNTIFS($A$2:$A$43,A8,$B$2:$B$43,B8)</f>
        <v>1</v>
      </c>
    </row>
    <row r="9" customFormat="false" ht="15" hidden="false" customHeight="false" outlineLevel="0" collapsed="false">
      <c r="A9" s="13" t="s">
        <v>289</v>
      </c>
      <c r="B9" s="14" t="n">
        <v>2</v>
      </c>
      <c r="C9" s="13" t="s">
        <v>583</v>
      </c>
      <c r="D9" s="13" t="s">
        <v>277</v>
      </c>
      <c r="E9" s="13" t="s">
        <v>278</v>
      </c>
      <c r="F9" s="16" t="n">
        <v>2</v>
      </c>
      <c r="G9" s="17" t="n">
        <v>416.075</v>
      </c>
      <c r="H9" s="13" t="s">
        <v>255</v>
      </c>
      <c r="I9" s="13" t="s">
        <v>584</v>
      </c>
      <c r="J9" s="13" t="s">
        <v>585</v>
      </c>
      <c r="K9" s="13" t="s">
        <v>280</v>
      </c>
      <c r="L9" s="13" t="s">
        <v>586</v>
      </c>
      <c r="M9" s="13" t="s">
        <v>587</v>
      </c>
      <c r="N9" s="24" t="n">
        <f aca="false">COUNTIFS($A$2:$A$43,A9,$B$2:$B$43,B9)</f>
        <v>1</v>
      </c>
    </row>
    <row r="10" customFormat="false" ht="15" hidden="false" customHeight="false" outlineLevel="0" collapsed="false">
      <c r="A10" s="13" t="s">
        <v>289</v>
      </c>
      <c r="B10" s="14" t="n">
        <v>3</v>
      </c>
      <c r="C10" s="13" t="s">
        <v>583</v>
      </c>
      <c r="D10" s="13" t="s">
        <v>283</v>
      </c>
      <c r="E10" s="13" t="s">
        <v>253</v>
      </c>
      <c r="F10" s="16" t="n">
        <v>4</v>
      </c>
      <c r="G10" s="17" t="n">
        <v>96.508</v>
      </c>
      <c r="H10" s="13" t="s">
        <v>255</v>
      </c>
      <c r="I10" s="13" t="s">
        <v>584</v>
      </c>
      <c r="J10" s="13" t="s">
        <v>585</v>
      </c>
      <c r="K10" s="13" t="s">
        <v>286</v>
      </c>
      <c r="L10" s="13" t="s">
        <v>586</v>
      </c>
      <c r="M10" s="13" t="s">
        <v>587</v>
      </c>
      <c r="N10" s="24" t="n">
        <f aca="false">COUNTIFS($A$2:$A$43,A10,$B$2:$B$43,B10)</f>
        <v>1</v>
      </c>
    </row>
    <row r="11" customFormat="false" ht="15" hidden="false" customHeight="false" outlineLevel="0" collapsed="false">
      <c r="A11" s="13" t="s">
        <v>299</v>
      </c>
      <c r="B11" s="14" t="n">
        <v>1</v>
      </c>
      <c r="C11" s="13" t="s">
        <v>583</v>
      </c>
      <c r="D11" s="13" t="s">
        <v>252</v>
      </c>
      <c r="E11" s="13" t="s">
        <v>253</v>
      </c>
      <c r="F11" s="16" t="n">
        <v>4</v>
      </c>
      <c r="G11" s="17" t="n">
        <v>91.7875</v>
      </c>
      <c r="H11" s="13" t="s">
        <v>255</v>
      </c>
      <c r="I11" s="13" t="s">
        <v>584</v>
      </c>
      <c r="J11" s="13" t="s">
        <v>585</v>
      </c>
      <c r="K11" s="13" t="s">
        <v>256</v>
      </c>
      <c r="L11" s="13" t="s">
        <v>586</v>
      </c>
      <c r="M11" s="13" t="s">
        <v>587</v>
      </c>
      <c r="N11" s="24" t="n">
        <f aca="false">COUNTIFS($A$2:$A$43,A11,$B$2:$B$43,B11)</f>
        <v>1</v>
      </c>
    </row>
    <row r="12" customFormat="false" ht="15" hidden="false" customHeight="false" outlineLevel="0" collapsed="false">
      <c r="A12" s="13" t="s">
        <v>299</v>
      </c>
      <c r="B12" s="14" t="n">
        <v>2</v>
      </c>
      <c r="C12" s="13" t="s">
        <v>583</v>
      </c>
      <c r="D12" s="13" t="s">
        <v>252</v>
      </c>
      <c r="E12" s="13" t="s">
        <v>253</v>
      </c>
      <c r="F12" s="16" t="n">
        <v>2</v>
      </c>
      <c r="G12" s="17" t="n">
        <v>91.7875</v>
      </c>
      <c r="H12" s="13" t="s">
        <v>255</v>
      </c>
      <c r="I12" s="13" t="s">
        <v>584</v>
      </c>
      <c r="J12" s="13" t="s">
        <v>585</v>
      </c>
      <c r="K12" s="13" t="s">
        <v>256</v>
      </c>
      <c r="L12" s="13" t="s">
        <v>586</v>
      </c>
      <c r="M12" s="13" t="s">
        <v>587</v>
      </c>
      <c r="N12" s="24" t="n">
        <f aca="false">COUNTIFS($A$2:$A$43,A12,$B$2:$B$43,B12)</f>
        <v>1</v>
      </c>
    </row>
    <row r="13" customFormat="false" ht="15" hidden="false" customHeight="false" outlineLevel="0" collapsed="false">
      <c r="A13" s="13" t="s">
        <v>299</v>
      </c>
      <c r="B13" s="14" t="n">
        <v>3</v>
      </c>
      <c r="C13" s="13" t="s">
        <v>583</v>
      </c>
      <c r="D13" s="13" t="s">
        <v>277</v>
      </c>
      <c r="E13" s="13" t="s">
        <v>278</v>
      </c>
      <c r="F13" s="16" t="n">
        <v>2</v>
      </c>
      <c r="G13" s="17" t="n">
        <v>416.075</v>
      </c>
      <c r="H13" s="13" t="s">
        <v>255</v>
      </c>
      <c r="I13" s="13" t="s">
        <v>584</v>
      </c>
      <c r="J13" s="13" t="s">
        <v>585</v>
      </c>
      <c r="K13" s="13" t="s">
        <v>280</v>
      </c>
      <c r="L13" s="13" t="s">
        <v>586</v>
      </c>
      <c r="M13" s="13" t="s">
        <v>587</v>
      </c>
      <c r="N13" s="24" t="n">
        <f aca="false">COUNTIFS($A$2:$A$43,A13,$B$2:$B$43,B13)</f>
        <v>1</v>
      </c>
    </row>
    <row r="14" customFormat="false" ht="15" hidden="false" customHeight="false" outlineLevel="0" collapsed="false">
      <c r="A14" s="13" t="s">
        <v>305</v>
      </c>
      <c r="B14" s="14" t="n">
        <v>1</v>
      </c>
      <c r="C14" s="13" t="s">
        <v>583</v>
      </c>
      <c r="D14" s="13" t="s">
        <v>283</v>
      </c>
      <c r="E14" s="13" t="s">
        <v>284</v>
      </c>
      <c r="F14" s="16" t="n">
        <v>10</v>
      </c>
      <c r="G14" s="17" t="n">
        <v>0.465</v>
      </c>
      <c r="H14" s="13" t="s">
        <v>255</v>
      </c>
      <c r="I14" s="13" t="s">
        <v>584</v>
      </c>
      <c r="J14" s="13" t="s">
        <v>585</v>
      </c>
      <c r="K14" s="13" t="s">
        <v>286</v>
      </c>
      <c r="L14" s="13" t="s">
        <v>586</v>
      </c>
      <c r="M14" s="13" t="s">
        <v>587</v>
      </c>
      <c r="N14" s="24" t="n">
        <f aca="false">COUNTIFS($A$2:$A$43,A14,$B$2:$B$43,B14)</f>
        <v>1</v>
      </c>
    </row>
    <row r="15" customFormat="false" ht="15" hidden="false" customHeight="false" outlineLevel="0" collapsed="false">
      <c r="A15" s="13" t="s">
        <v>305</v>
      </c>
      <c r="B15" s="14" t="n">
        <v>2</v>
      </c>
      <c r="C15" s="13" t="s">
        <v>583</v>
      </c>
      <c r="D15" s="13" t="s">
        <v>252</v>
      </c>
      <c r="E15" s="13" t="s">
        <v>253</v>
      </c>
      <c r="F15" s="16" t="n">
        <v>4</v>
      </c>
      <c r="G15" s="17" t="n">
        <v>91.7875</v>
      </c>
      <c r="H15" s="13" t="s">
        <v>255</v>
      </c>
      <c r="I15" s="13" t="s">
        <v>584</v>
      </c>
      <c r="J15" s="13" t="s">
        <v>585</v>
      </c>
      <c r="K15" s="13" t="s">
        <v>256</v>
      </c>
      <c r="L15" s="13" t="s">
        <v>586</v>
      </c>
      <c r="M15" s="13" t="s">
        <v>587</v>
      </c>
      <c r="N15" s="24" t="n">
        <f aca="false">COUNTIFS($A$2:$A$43,A15,$B$2:$B$43,B15)</f>
        <v>1</v>
      </c>
    </row>
    <row r="16" customFormat="false" ht="15" hidden="false" customHeight="false" outlineLevel="0" collapsed="false">
      <c r="A16" s="13" t="s">
        <v>364</v>
      </c>
      <c r="B16" s="14" t="n">
        <v>1</v>
      </c>
      <c r="C16" s="13" t="s">
        <v>583</v>
      </c>
      <c r="D16" s="13" t="s">
        <v>268</v>
      </c>
      <c r="E16" s="13" t="s">
        <v>253</v>
      </c>
      <c r="F16" s="16" t="n">
        <v>4</v>
      </c>
      <c r="G16" s="17" t="n">
        <v>93.361</v>
      </c>
      <c r="H16" s="13" t="s">
        <v>255</v>
      </c>
      <c r="I16" s="13" t="s">
        <v>584</v>
      </c>
      <c r="J16" s="13" t="s">
        <v>585</v>
      </c>
      <c r="K16" s="13" t="s">
        <v>256</v>
      </c>
      <c r="L16" s="13" t="s">
        <v>586</v>
      </c>
      <c r="M16" s="13" t="s">
        <v>587</v>
      </c>
      <c r="N16" s="24" t="n">
        <f aca="false">COUNTIFS($A$2:$A$43,A16,$B$2:$B$43,B16)</f>
        <v>2</v>
      </c>
    </row>
    <row r="17" customFormat="false" ht="15" hidden="false" customHeight="false" outlineLevel="0" collapsed="false">
      <c r="A17" s="13" t="s">
        <v>364</v>
      </c>
      <c r="B17" s="14" t="n">
        <v>1</v>
      </c>
      <c r="C17" s="13" t="s">
        <v>583</v>
      </c>
      <c r="D17" s="13" t="s">
        <v>268</v>
      </c>
      <c r="E17" s="13" t="s">
        <v>253</v>
      </c>
      <c r="F17" s="16" t="n">
        <v>6</v>
      </c>
      <c r="G17" s="17" t="n">
        <v>93.361</v>
      </c>
      <c r="H17" s="13" t="s">
        <v>255</v>
      </c>
      <c r="I17" s="13" t="s">
        <v>584</v>
      </c>
      <c r="J17" s="13" t="s">
        <v>585</v>
      </c>
      <c r="K17" s="13" t="s">
        <v>256</v>
      </c>
      <c r="L17" s="13" t="s">
        <v>586</v>
      </c>
      <c r="M17" s="13" t="s">
        <v>588</v>
      </c>
      <c r="N17" s="24" t="n">
        <f aca="false">COUNTIFS($A$2:$A$43,A17,$B$2:$B$43,B17)</f>
        <v>2</v>
      </c>
    </row>
    <row r="18" customFormat="false" ht="15" hidden="false" customHeight="false" outlineLevel="0" collapsed="false">
      <c r="A18" s="13" t="s">
        <v>309</v>
      </c>
      <c r="B18" s="14" t="n">
        <v>1</v>
      </c>
      <c r="C18" s="13" t="s">
        <v>583</v>
      </c>
      <c r="D18" s="13" t="s">
        <v>283</v>
      </c>
      <c r="E18" s="13" t="s">
        <v>253</v>
      </c>
      <c r="F18" s="16" t="n">
        <v>2</v>
      </c>
      <c r="G18" s="17" t="n">
        <v>96.508</v>
      </c>
      <c r="H18" s="13" t="s">
        <v>255</v>
      </c>
      <c r="I18" s="13" t="s">
        <v>584</v>
      </c>
      <c r="J18" s="13" t="s">
        <v>585</v>
      </c>
      <c r="K18" s="13" t="s">
        <v>286</v>
      </c>
      <c r="L18" s="13" t="s">
        <v>586</v>
      </c>
      <c r="M18" s="13" t="s">
        <v>587</v>
      </c>
      <c r="N18" s="24" t="n">
        <f aca="false">COUNTIFS($A$2:$A$43,A18,$B$2:$B$43,B18)</f>
        <v>1</v>
      </c>
    </row>
    <row r="19" customFormat="false" ht="15" hidden="false" customHeight="false" outlineLevel="0" collapsed="false">
      <c r="A19" s="13" t="s">
        <v>309</v>
      </c>
      <c r="B19" s="14" t="n">
        <v>2</v>
      </c>
      <c r="C19" s="13" t="s">
        <v>583</v>
      </c>
      <c r="D19" s="13" t="s">
        <v>277</v>
      </c>
      <c r="E19" s="13" t="s">
        <v>284</v>
      </c>
      <c r="F19" s="16" t="n">
        <v>20</v>
      </c>
      <c r="G19" s="17" t="n">
        <v>0.465</v>
      </c>
      <c r="H19" s="13" t="s">
        <v>255</v>
      </c>
      <c r="I19" s="13" t="s">
        <v>584</v>
      </c>
      <c r="J19" s="13" t="s">
        <v>585</v>
      </c>
      <c r="K19" s="13" t="s">
        <v>280</v>
      </c>
      <c r="L19" s="13" t="s">
        <v>586</v>
      </c>
      <c r="M19" s="13" t="s">
        <v>587</v>
      </c>
      <c r="N19" s="24" t="n">
        <f aca="false">COUNTIFS($A$2:$A$43,A19,$B$2:$B$43,B19)</f>
        <v>1</v>
      </c>
    </row>
    <row r="20" customFormat="false" ht="15" hidden="false" customHeight="false" outlineLevel="0" collapsed="false">
      <c r="A20" s="13" t="s">
        <v>314</v>
      </c>
      <c r="B20" s="14" t="n">
        <v>1</v>
      </c>
      <c r="C20" s="13" t="s">
        <v>583</v>
      </c>
      <c r="D20" s="13" t="s">
        <v>252</v>
      </c>
      <c r="E20" s="13" t="s">
        <v>253</v>
      </c>
      <c r="F20" s="16" t="n">
        <v>4</v>
      </c>
      <c r="G20" s="17" t="n">
        <v>91.7875</v>
      </c>
      <c r="H20" s="13" t="s">
        <v>255</v>
      </c>
      <c r="I20" s="13" t="s">
        <v>584</v>
      </c>
      <c r="J20" s="13" t="s">
        <v>585</v>
      </c>
      <c r="K20" s="13" t="s">
        <v>256</v>
      </c>
      <c r="L20" s="13" t="s">
        <v>586</v>
      </c>
      <c r="M20" s="13" t="s">
        <v>587</v>
      </c>
      <c r="N20" s="24" t="n">
        <f aca="false">COUNTIFS($A$2:$A$43,A20,$B$2:$B$43,B20)</f>
        <v>1</v>
      </c>
    </row>
    <row r="21" customFormat="false" ht="15" hidden="false" customHeight="false" outlineLevel="0" collapsed="false">
      <c r="A21" s="13" t="s">
        <v>314</v>
      </c>
      <c r="B21" s="14" t="n">
        <v>2</v>
      </c>
      <c r="C21" s="13" t="s">
        <v>583</v>
      </c>
      <c r="D21" s="13" t="s">
        <v>268</v>
      </c>
      <c r="E21" s="13" t="s">
        <v>278</v>
      </c>
      <c r="F21" s="16" t="n">
        <v>2</v>
      </c>
      <c r="G21" s="17" t="n">
        <v>430.76</v>
      </c>
      <c r="H21" s="13" t="s">
        <v>255</v>
      </c>
      <c r="I21" s="13" t="s">
        <v>584</v>
      </c>
      <c r="J21" s="13" t="s">
        <v>585</v>
      </c>
      <c r="K21" s="13" t="s">
        <v>256</v>
      </c>
      <c r="L21" s="13" t="s">
        <v>586</v>
      </c>
      <c r="M21" s="13" t="s">
        <v>587</v>
      </c>
      <c r="N21" s="24" t="n">
        <f aca="false">COUNTIFS($A$2:$A$43,A21,$B$2:$B$43,B21)</f>
        <v>1</v>
      </c>
    </row>
    <row r="22" customFormat="false" ht="15" hidden="false" customHeight="false" outlineLevel="0" collapsed="false">
      <c r="A22" s="13" t="s">
        <v>320</v>
      </c>
      <c r="B22" s="14" t="n">
        <v>1</v>
      </c>
      <c r="C22" s="13" t="s">
        <v>583</v>
      </c>
      <c r="D22" s="13" t="s">
        <v>252</v>
      </c>
      <c r="E22" s="13" t="s">
        <v>278</v>
      </c>
      <c r="F22" s="16" t="n">
        <v>2</v>
      </c>
      <c r="G22" s="17" t="n">
        <v>430.76</v>
      </c>
      <c r="H22" s="13" t="s">
        <v>255</v>
      </c>
      <c r="I22" s="13" t="s">
        <v>584</v>
      </c>
      <c r="J22" s="13" t="s">
        <v>585</v>
      </c>
      <c r="K22" s="13" t="s">
        <v>256</v>
      </c>
      <c r="L22" s="13" t="s">
        <v>586</v>
      </c>
      <c r="M22" s="13" t="s">
        <v>587</v>
      </c>
      <c r="N22" s="24" t="n">
        <f aca="false">COUNTIFS($A$2:$A$43,A22,$B$2:$B$43,B22)</f>
        <v>1</v>
      </c>
    </row>
    <row r="23" customFormat="false" ht="15" hidden="false" customHeight="false" outlineLevel="0" collapsed="false">
      <c r="A23" s="13" t="s">
        <v>320</v>
      </c>
      <c r="B23" s="14" t="n">
        <v>2</v>
      </c>
      <c r="C23" s="13" t="s">
        <v>583</v>
      </c>
      <c r="D23" s="13" t="s">
        <v>323</v>
      </c>
      <c r="E23" s="13" t="s">
        <v>253</v>
      </c>
      <c r="F23" s="16" t="n">
        <v>4</v>
      </c>
      <c r="G23" s="17" t="n">
        <v>91.7875</v>
      </c>
      <c r="H23" s="13" t="s">
        <v>255</v>
      </c>
      <c r="I23" s="13" t="s">
        <v>584</v>
      </c>
      <c r="J23" s="13" t="s">
        <v>585</v>
      </c>
      <c r="K23" s="13" t="s">
        <v>256</v>
      </c>
      <c r="L23" s="13" t="s">
        <v>586</v>
      </c>
      <c r="M23" s="13" t="s">
        <v>587</v>
      </c>
      <c r="N23" s="24" t="n">
        <f aca="false">COUNTIFS($A$2:$A$43,A23,$B$2:$B$43,B23)</f>
        <v>1</v>
      </c>
    </row>
    <row r="24" customFormat="false" ht="15" hidden="false" customHeight="false" outlineLevel="0" collapsed="false">
      <c r="A24" s="13" t="s">
        <v>327</v>
      </c>
      <c r="B24" s="14" t="n">
        <v>1</v>
      </c>
      <c r="C24" s="13" t="s">
        <v>583</v>
      </c>
      <c r="D24" s="13" t="s">
        <v>252</v>
      </c>
      <c r="E24" s="13" t="s">
        <v>253</v>
      </c>
      <c r="F24" s="16" t="n">
        <v>4</v>
      </c>
      <c r="G24" s="17" t="n">
        <v>91.7875</v>
      </c>
      <c r="H24" s="13" t="s">
        <v>255</v>
      </c>
      <c r="I24" s="13" t="s">
        <v>584</v>
      </c>
      <c r="J24" s="13" t="s">
        <v>585</v>
      </c>
      <c r="K24" s="13" t="s">
        <v>256</v>
      </c>
      <c r="L24" s="13" t="s">
        <v>586</v>
      </c>
      <c r="M24" s="13" t="s">
        <v>587</v>
      </c>
      <c r="N24" s="24" t="n">
        <f aca="false">COUNTIFS($A$2:$A$43,A24,$B$2:$B$43,B24)</f>
        <v>1</v>
      </c>
    </row>
    <row r="25" customFormat="false" ht="15" hidden="false" customHeight="false" outlineLevel="0" collapsed="false">
      <c r="A25" s="13" t="s">
        <v>327</v>
      </c>
      <c r="B25" s="14" t="n">
        <v>2</v>
      </c>
      <c r="C25" s="13" t="s">
        <v>583</v>
      </c>
      <c r="D25" s="13" t="s">
        <v>277</v>
      </c>
      <c r="E25" s="13" t="s">
        <v>278</v>
      </c>
      <c r="F25" s="16" t="n">
        <v>2</v>
      </c>
      <c r="G25" s="17" t="n">
        <v>416.075</v>
      </c>
      <c r="H25" s="13" t="s">
        <v>255</v>
      </c>
      <c r="I25" s="13" t="s">
        <v>584</v>
      </c>
      <c r="J25" s="13" t="s">
        <v>585</v>
      </c>
      <c r="K25" s="13" t="s">
        <v>280</v>
      </c>
      <c r="L25" s="13" t="s">
        <v>586</v>
      </c>
      <c r="M25" s="13" t="s">
        <v>587</v>
      </c>
      <c r="N25" s="24" t="n">
        <f aca="false">COUNTIFS($A$2:$A$43,A25,$B$2:$B$43,B25)</f>
        <v>1</v>
      </c>
    </row>
    <row r="26" customFormat="false" ht="15" hidden="false" customHeight="false" outlineLevel="0" collapsed="false">
      <c r="A26" s="13" t="s">
        <v>327</v>
      </c>
      <c r="B26" s="14" t="n">
        <v>3</v>
      </c>
      <c r="C26" s="13" t="s">
        <v>583</v>
      </c>
      <c r="D26" s="13" t="s">
        <v>283</v>
      </c>
      <c r="E26" s="13" t="s">
        <v>253</v>
      </c>
      <c r="F26" s="16" t="n">
        <v>4</v>
      </c>
      <c r="G26" s="17" t="n">
        <v>96.508</v>
      </c>
      <c r="H26" s="13" t="s">
        <v>255</v>
      </c>
      <c r="I26" s="13" t="s">
        <v>584</v>
      </c>
      <c r="J26" s="13" t="s">
        <v>585</v>
      </c>
      <c r="K26" s="13" t="s">
        <v>286</v>
      </c>
      <c r="L26" s="13" t="s">
        <v>586</v>
      </c>
      <c r="M26" s="13" t="s">
        <v>587</v>
      </c>
      <c r="N26" s="24" t="n">
        <f aca="false">COUNTIFS($A$2:$A$43,A26,$B$2:$B$43,B26)</f>
        <v>1</v>
      </c>
    </row>
    <row r="27" customFormat="false" ht="15" hidden="false" customHeight="false" outlineLevel="0" collapsed="false">
      <c r="A27" s="13" t="s">
        <v>334</v>
      </c>
      <c r="B27" s="14" t="n">
        <v>1</v>
      </c>
      <c r="C27" s="13" t="s">
        <v>583</v>
      </c>
      <c r="D27" s="13" t="s">
        <v>323</v>
      </c>
      <c r="E27" s="13" t="s">
        <v>278</v>
      </c>
      <c r="F27" s="16" t="n">
        <v>2</v>
      </c>
      <c r="G27" s="17" t="n">
        <v>430.76</v>
      </c>
      <c r="H27" s="13" t="s">
        <v>255</v>
      </c>
      <c r="I27" s="13" t="s">
        <v>584</v>
      </c>
      <c r="J27" s="13" t="s">
        <v>585</v>
      </c>
      <c r="K27" s="13" t="s">
        <v>256</v>
      </c>
      <c r="L27" s="13" t="s">
        <v>586</v>
      </c>
      <c r="M27" s="13" t="s">
        <v>587</v>
      </c>
      <c r="N27" s="24" t="n">
        <f aca="false">COUNTIFS($A$2:$A$43,A27,$B$2:$B$43,B27)</f>
        <v>1</v>
      </c>
    </row>
    <row r="28" customFormat="false" ht="15" hidden="false" customHeight="false" outlineLevel="0" collapsed="false">
      <c r="A28" s="13" t="s">
        <v>334</v>
      </c>
      <c r="B28" s="14" t="n">
        <v>2</v>
      </c>
      <c r="C28" s="13" t="s">
        <v>583</v>
      </c>
      <c r="D28" s="13" t="s">
        <v>336</v>
      </c>
      <c r="E28" s="13" t="s">
        <v>278</v>
      </c>
      <c r="F28" s="16" t="n">
        <v>4</v>
      </c>
      <c r="G28" s="17" t="n">
        <v>421</v>
      </c>
      <c r="H28" s="13" t="s">
        <v>255</v>
      </c>
      <c r="I28" s="13" t="s">
        <v>584</v>
      </c>
      <c r="J28" s="13" t="s">
        <v>585</v>
      </c>
      <c r="K28" s="13" t="s">
        <v>337</v>
      </c>
      <c r="L28" s="13" t="s">
        <v>586</v>
      </c>
      <c r="M28" s="13" t="s">
        <v>587</v>
      </c>
      <c r="N28" s="24" t="n">
        <f aca="false">COUNTIFS($A$2:$A$43,A28,$B$2:$B$43,B28)</f>
        <v>1</v>
      </c>
    </row>
    <row r="29" customFormat="false" ht="15" hidden="false" customHeight="false" outlineLevel="0" collapsed="false">
      <c r="A29" s="13" t="s">
        <v>334</v>
      </c>
      <c r="B29" s="14" t="n">
        <v>3</v>
      </c>
      <c r="C29" s="13" t="s">
        <v>583</v>
      </c>
      <c r="D29" s="13" t="s">
        <v>252</v>
      </c>
      <c r="E29" s="13" t="s">
        <v>253</v>
      </c>
      <c r="F29" s="16" t="n">
        <v>4</v>
      </c>
      <c r="G29" s="17" t="n">
        <v>91.7875</v>
      </c>
      <c r="H29" s="13" t="s">
        <v>255</v>
      </c>
      <c r="I29" s="13" t="s">
        <v>584</v>
      </c>
      <c r="J29" s="13" t="s">
        <v>585</v>
      </c>
      <c r="K29" s="13" t="s">
        <v>256</v>
      </c>
      <c r="L29" s="13" t="s">
        <v>586</v>
      </c>
      <c r="M29" s="13" t="s">
        <v>587</v>
      </c>
      <c r="N29" s="24" t="n">
        <f aca="false">COUNTIFS($A$2:$A$43,A29,$B$2:$B$43,B29)</f>
        <v>1</v>
      </c>
    </row>
    <row r="30" customFormat="false" ht="15" hidden="false" customHeight="false" outlineLevel="0" collapsed="false">
      <c r="A30" s="13" t="s">
        <v>343</v>
      </c>
      <c r="B30" s="14" t="n">
        <v>1</v>
      </c>
      <c r="C30" s="13" t="s">
        <v>583</v>
      </c>
      <c r="D30" s="13" t="s">
        <v>252</v>
      </c>
      <c r="E30" s="13" t="s">
        <v>342</v>
      </c>
      <c r="F30" s="16" t="n">
        <v>4</v>
      </c>
      <c r="G30" s="17" t="n">
        <v>88</v>
      </c>
      <c r="H30" s="13" t="s">
        <v>255</v>
      </c>
      <c r="I30" s="13" t="s">
        <v>584</v>
      </c>
      <c r="J30" s="13" t="s">
        <v>585</v>
      </c>
      <c r="K30" s="13" t="s">
        <v>256</v>
      </c>
      <c r="L30" s="13" t="s">
        <v>586</v>
      </c>
      <c r="M30" s="13" t="s">
        <v>587</v>
      </c>
      <c r="N30" s="24" t="n">
        <f aca="false">COUNTIFS($A$2:$A$43,A30,$B$2:$B$43,B30)</f>
        <v>1</v>
      </c>
    </row>
    <row r="31" customFormat="false" ht="15" hidden="false" customHeight="false" outlineLevel="0" collapsed="false">
      <c r="A31" s="13" t="s">
        <v>343</v>
      </c>
      <c r="B31" s="14" t="n">
        <v>2</v>
      </c>
      <c r="C31" s="13" t="s">
        <v>583</v>
      </c>
      <c r="D31" s="13" t="s">
        <v>283</v>
      </c>
      <c r="E31" s="13" t="s">
        <v>346</v>
      </c>
      <c r="F31" s="16" t="n">
        <v>2</v>
      </c>
      <c r="G31" s="17" t="n">
        <v>127.88</v>
      </c>
      <c r="H31" s="13" t="s">
        <v>255</v>
      </c>
      <c r="I31" s="13" t="s">
        <v>584</v>
      </c>
      <c r="J31" s="13" t="s">
        <v>585</v>
      </c>
      <c r="K31" s="13" t="s">
        <v>286</v>
      </c>
      <c r="L31" s="13" t="s">
        <v>586</v>
      </c>
      <c r="M31" s="13" t="s">
        <v>587</v>
      </c>
      <c r="N31" s="24" t="n">
        <f aca="false">COUNTIFS($A$2:$A$43,A31,$B$2:$B$43,B31)</f>
        <v>1</v>
      </c>
    </row>
    <row r="32" customFormat="false" ht="15" hidden="false" customHeight="false" outlineLevel="0" collapsed="false">
      <c r="A32" s="13" t="s">
        <v>343</v>
      </c>
      <c r="B32" s="14" t="n">
        <v>3</v>
      </c>
      <c r="C32" s="13" t="s">
        <v>583</v>
      </c>
      <c r="D32" s="13" t="s">
        <v>323</v>
      </c>
      <c r="E32" s="13" t="s">
        <v>342</v>
      </c>
      <c r="F32" s="16" t="n">
        <v>4</v>
      </c>
      <c r="G32" s="17" t="n">
        <v>88</v>
      </c>
      <c r="H32" s="13" t="s">
        <v>255</v>
      </c>
      <c r="I32" s="13" t="s">
        <v>584</v>
      </c>
      <c r="J32" s="13" t="s">
        <v>585</v>
      </c>
      <c r="K32" s="13" t="s">
        <v>256</v>
      </c>
      <c r="L32" s="13" t="s">
        <v>586</v>
      </c>
      <c r="M32" s="13" t="s">
        <v>587</v>
      </c>
      <c r="N32" s="24" t="n">
        <f aca="false">COUNTIFS($A$2:$A$43,A32,$B$2:$B$43,B32)</f>
        <v>1</v>
      </c>
    </row>
    <row r="33" customFormat="false" ht="15" hidden="false" customHeight="false" outlineLevel="0" collapsed="false">
      <c r="A33" s="13" t="s">
        <v>351</v>
      </c>
      <c r="B33" s="14" t="n">
        <v>1</v>
      </c>
      <c r="C33" s="13" t="s">
        <v>583</v>
      </c>
      <c r="D33" s="13" t="s">
        <v>323</v>
      </c>
      <c r="E33" s="13" t="s">
        <v>253</v>
      </c>
      <c r="F33" s="16" t="n">
        <v>4</v>
      </c>
      <c r="G33" s="17" t="n">
        <v>91.7875</v>
      </c>
      <c r="H33" s="13" t="s">
        <v>255</v>
      </c>
      <c r="I33" s="13" t="s">
        <v>584</v>
      </c>
      <c r="J33" s="13" t="s">
        <v>585</v>
      </c>
      <c r="K33" s="13" t="s">
        <v>256</v>
      </c>
      <c r="L33" s="13" t="s">
        <v>586</v>
      </c>
      <c r="M33" s="13" t="s">
        <v>587</v>
      </c>
      <c r="N33" s="24" t="n">
        <f aca="false">COUNTIFS($A$2:$A$43,A33,$B$2:$B$43,B33)</f>
        <v>1</v>
      </c>
    </row>
    <row r="34" customFormat="false" ht="15" hidden="false" customHeight="false" outlineLevel="0" collapsed="false">
      <c r="A34" s="13" t="s">
        <v>351</v>
      </c>
      <c r="B34" s="14" t="n">
        <v>2</v>
      </c>
      <c r="C34" s="13" t="s">
        <v>583</v>
      </c>
      <c r="D34" s="13" t="s">
        <v>252</v>
      </c>
      <c r="E34" s="13" t="s">
        <v>253</v>
      </c>
      <c r="F34" s="16" t="n">
        <v>4</v>
      </c>
      <c r="G34" s="17" t="n">
        <v>91.7875</v>
      </c>
      <c r="H34" s="13" t="s">
        <v>255</v>
      </c>
      <c r="I34" s="13" t="s">
        <v>584</v>
      </c>
      <c r="J34" s="13" t="s">
        <v>585</v>
      </c>
      <c r="K34" s="13" t="s">
        <v>256</v>
      </c>
      <c r="L34" s="13" t="s">
        <v>586</v>
      </c>
      <c r="M34" s="13" t="s">
        <v>587</v>
      </c>
      <c r="N34" s="24" t="n">
        <f aca="false">COUNTIFS($A$2:$A$43,A34,$B$2:$B$43,B34)</f>
        <v>1</v>
      </c>
    </row>
    <row r="35" customFormat="false" ht="15" hidden="false" customHeight="false" outlineLevel="0" collapsed="false">
      <c r="A35" s="13" t="s">
        <v>351</v>
      </c>
      <c r="B35" s="14" t="n">
        <v>3</v>
      </c>
      <c r="C35" s="13" t="s">
        <v>583</v>
      </c>
      <c r="D35" s="13" t="s">
        <v>277</v>
      </c>
      <c r="E35" s="13" t="s">
        <v>342</v>
      </c>
      <c r="F35" s="16" t="n">
        <v>2</v>
      </c>
      <c r="G35" s="17" t="n">
        <v>88</v>
      </c>
      <c r="H35" s="13" t="s">
        <v>255</v>
      </c>
      <c r="I35" s="13" t="s">
        <v>584</v>
      </c>
      <c r="J35" s="13" t="s">
        <v>585</v>
      </c>
      <c r="K35" s="13" t="s">
        <v>280</v>
      </c>
      <c r="L35" s="13" t="s">
        <v>586</v>
      </c>
      <c r="M35" s="13" t="s">
        <v>587</v>
      </c>
      <c r="N35" s="24" t="n">
        <f aca="false">COUNTIFS($A$2:$A$43,A35,$B$2:$B$43,B35)</f>
        <v>1</v>
      </c>
    </row>
    <row r="36" customFormat="false" ht="15" hidden="false" customHeight="false" outlineLevel="0" collapsed="false">
      <c r="A36" s="13" t="s">
        <v>374</v>
      </c>
      <c r="B36" s="14" t="n">
        <v>1</v>
      </c>
      <c r="C36" s="13" t="s">
        <v>583</v>
      </c>
      <c r="D36" s="13" t="s">
        <v>372</v>
      </c>
      <c r="E36" s="13" t="s">
        <v>373</v>
      </c>
      <c r="F36" s="16" t="n">
        <v>2</v>
      </c>
      <c r="G36" s="17" t="n">
        <v>1082.6196</v>
      </c>
      <c r="H36" s="13" t="s">
        <v>375</v>
      </c>
      <c r="I36" s="13" t="s">
        <v>584</v>
      </c>
      <c r="J36" s="13" t="s">
        <v>585</v>
      </c>
      <c r="K36" s="13" t="s">
        <v>376</v>
      </c>
      <c r="L36" s="13" t="s">
        <v>586</v>
      </c>
      <c r="M36" s="13" t="s">
        <v>587</v>
      </c>
      <c r="N36" s="24" t="n">
        <f aca="false">COUNTIFS($A$2:$A$43,A36,$B$2:$B$43,B36)</f>
        <v>1</v>
      </c>
    </row>
    <row r="37" customFormat="false" ht="15" hidden="false" customHeight="false" outlineLevel="0" collapsed="false">
      <c r="A37" s="13" t="s">
        <v>374</v>
      </c>
      <c r="B37" s="14" t="n">
        <v>2</v>
      </c>
      <c r="C37" s="13" t="s">
        <v>583</v>
      </c>
      <c r="D37" s="13" t="s">
        <v>378</v>
      </c>
      <c r="E37" s="13" t="s">
        <v>284</v>
      </c>
      <c r="F37" s="16" t="n">
        <v>50</v>
      </c>
      <c r="G37" s="17" t="n">
        <v>0.735</v>
      </c>
      <c r="H37" s="13" t="s">
        <v>379</v>
      </c>
      <c r="I37" s="13" t="s">
        <v>584</v>
      </c>
      <c r="J37" s="13" t="s">
        <v>585</v>
      </c>
      <c r="K37" s="13" t="s">
        <v>380</v>
      </c>
      <c r="L37" s="13" t="s">
        <v>586</v>
      </c>
      <c r="M37" s="13" t="s">
        <v>587</v>
      </c>
      <c r="N37" s="24" t="n">
        <f aca="false">COUNTIFS($A$2:$A$43,A37,$B$2:$B$43,B37)</f>
        <v>1</v>
      </c>
    </row>
    <row r="38" customFormat="false" ht="15" hidden="false" customHeight="false" outlineLevel="0" collapsed="false">
      <c r="A38" s="13" t="s">
        <v>383</v>
      </c>
      <c r="B38" s="14" t="n">
        <v>1</v>
      </c>
      <c r="C38" s="13" t="s">
        <v>583</v>
      </c>
      <c r="D38" s="13" t="s">
        <v>382</v>
      </c>
      <c r="E38" s="13" t="s">
        <v>253</v>
      </c>
      <c r="F38" s="16" t="n">
        <v>10</v>
      </c>
      <c r="G38" s="17" t="n">
        <v>451.07</v>
      </c>
      <c r="H38" s="13" t="s">
        <v>384</v>
      </c>
      <c r="I38" s="13" t="s">
        <v>584</v>
      </c>
      <c r="J38" s="13" t="s">
        <v>585</v>
      </c>
      <c r="K38" s="13" t="s">
        <v>385</v>
      </c>
      <c r="L38" s="13" t="s">
        <v>586</v>
      </c>
      <c r="M38" s="13" t="s">
        <v>587</v>
      </c>
      <c r="N38" s="24" t="n">
        <f aca="false">COUNTIFS($A$2:$A$43,A38,$B$2:$B$43,B38)</f>
        <v>1</v>
      </c>
    </row>
    <row r="39" customFormat="false" ht="15" hidden="false" customHeight="false" outlineLevel="0" collapsed="false">
      <c r="A39" s="13" t="s">
        <v>383</v>
      </c>
      <c r="B39" s="14" t="n">
        <v>2</v>
      </c>
      <c r="C39" s="13" t="s">
        <v>583</v>
      </c>
      <c r="D39" s="13" t="s">
        <v>387</v>
      </c>
      <c r="E39" s="13" t="s">
        <v>253</v>
      </c>
      <c r="F39" s="16" t="n">
        <v>1200</v>
      </c>
      <c r="G39" s="17" t="n">
        <v>68.185</v>
      </c>
      <c r="H39" s="13" t="s">
        <v>255</v>
      </c>
      <c r="I39" s="13" t="s">
        <v>584</v>
      </c>
      <c r="J39" s="13" t="s">
        <v>585</v>
      </c>
      <c r="K39" s="13" t="s">
        <v>388</v>
      </c>
      <c r="L39" s="13" t="s">
        <v>586</v>
      </c>
      <c r="M39" s="13" t="s">
        <v>587</v>
      </c>
      <c r="N39" s="24" t="n">
        <f aca="false">COUNTIFS($A$2:$A$43,A39,$B$2:$B$43,B39)</f>
        <v>1</v>
      </c>
    </row>
    <row r="40" customFormat="false" ht="15" hidden="false" customHeight="false" outlineLevel="0" collapsed="false">
      <c r="A40" s="13" t="s">
        <v>383</v>
      </c>
      <c r="B40" s="14" t="n">
        <v>3</v>
      </c>
      <c r="C40" s="13" t="s">
        <v>583</v>
      </c>
      <c r="D40" s="13" t="s">
        <v>268</v>
      </c>
      <c r="E40" s="13" t="s">
        <v>357</v>
      </c>
      <c r="F40" s="16" t="n">
        <v>0.333</v>
      </c>
      <c r="G40" s="17" t="n">
        <v>29.99</v>
      </c>
      <c r="H40" s="13" t="s">
        <v>255</v>
      </c>
      <c r="I40" s="13" t="s">
        <v>584</v>
      </c>
      <c r="J40" s="13" t="s">
        <v>585</v>
      </c>
      <c r="K40" s="13" t="s">
        <v>256</v>
      </c>
      <c r="L40" s="13" t="s">
        <v>586</v>
      </c>
      <c r="M40" s="13" t="s">
        <v>587</v>
      </c>
      <c r="N40" s="24" t="n">
        <f aca="false">COUNTIFS($A$2:$A$43,A40,$B$2:$B$43,B40)</f>
        <v>1</v>
      </c>
    </row>
    <row r="41" customFormat="false" ht="15" hidden="false" customHeight="false" outlineLevel="0" collapsed="false">
      <c r="A41" s="13" t="s">
        <v>392</v>
      </c>
      <c r="B41" s="14" t="n">
        <v>1</v>
      </c>
      <c r="C41" s="13" t="s">
        <v>583</v>
      </c>
      <c r="D41" s="13" t="s">
        <v>277</v>
      </c>
      <c r="E41" s="13" t="s">
        <v>278</v>
      </c>
      <c r="F41" s="16" t="n">
        <v>2</v>
      </c>
      <c r="G41" s="17" t="n">
        <v>416.075</v>
      </c>
      <c r="H41" s="13" t="s">
        <v>255</v>
      </c>
      <c r="I41" s="13" t="s">
        <v>584</v>
      </c>
      <c r="J41" s="13" t="s">
        <v>585</v>
      </c>
      <c r="K41" s="13" t="s">
        <v>280</v>
      </c>
      <c r="L41" s="13" t="s">
        <v>586</v>
      </c>
      <c r="M41" s="13" t="s">
        <v>587</v>
      </c>
      <c r="N41" s="24" t="n">
        <f aca="false">COUNTIFS($A$2:$A$43,A41,$B$2:$B$43,B41)</f>
        <v>1</v>
      </c>
    </row>
    <row r="42" customFormat="false" ht="15" hidden="false" customHeight="false" outlineLevel="0" collapsed="false">
      <c r="A42" s="13" t="s">
        <v>392</v>
      </c>
      <c r="B42" s="14" t="n">
        <v>2</v>
      </c>
      <c r="C42" s="13" t="s">
        <v>589</v>
      </c>
      <c r="D42" s="13" t="s">
        <v>277</v>
      </c>
      <c r="E42" s="13" t="s">
        <v>278</v>
      </c>
      <c r="F42" s="16" t="n">
        <v>4</v>
      </c>
      <c r="G42" s="17" t="n">
        <v>416.075</v>
      </c>
      <c r="H42" s="13" t="s">
        <v>255</v>
      </c>
      <c r="I42" s="13" t="s">
        <v>590</v>
      </c>
      <c r="J42" s="13" t="s">
        <v>591</v>
      </c>
      <c r="K42" s="13" t="s">
        <v>280</v>
      </c>
      <c r="L42" s="13" t="s">
        <v>592</v>
      </c>
      <c r="M42" s="13" t="s">
        <v>593</v>
      </c>
      <c r="N42" s="24" t="n">
        <f aca="false">COUNTIFS($A$2:$A$43,A42,$B$2:$B$43,B42)</f>
        <v>1</v>
      </c>
    </row>
    <row r="43" customFormat="false" ht="15" hidden="false" customHeight="false" outlineLevel="0" collapsed="false">
      <c r="A43" s="13" t="s">
        <v>392</v>
      </c>
      <c r="B43" s="14" t="n">
        <v>3</v>
      </c>
      <c r="C43" s="13" t="s">
        <v>589</v>
      </c>
      <c r="D43" s="13" t="s">
        <v>277</v>
      </c>
      <c r="E43" s="13" t="s">
        <v>278</v>
      </c>
      <c r="F43" s="16" t="n">
        <v>4</v>
      </c>
      <c r="G43" s="17" t="n">
        <v>416.075</v>
      </c>
      <c r="H43" s="13" t="s">
        <v>255</v>
      </c>
      <c r="I43" s="13" t="s">
        <v>590</v>
      </c>
      <c r="J43" s="13" t="s">
        <v>591</v>
      </c>
      <c r="K43" s="13" t="s">
        <v>280</v>
      </c>
      <c r="L43" s="13" t="s">
        <v>592</v>
      </c>
      <c r="M43" s="13" t="s">
        <v>593</v>
      </c>
      <c r="N43" s="24" t="n">
        <f aca="false">COUNTIFS($A$2:$A$43,A43,$B$2:$B$43,B43)</f>
        <v>1</v>
      </c>
    </row>
    <row r="45" customFormat="false" ht="15" hidden="false" customHeight="false" outlineLevel="0" collapsed="false">
      <c r="A45" s="11" t="s">
        <v>528</v>
      </c>
      <c r="N45" s="24" t="n">
        <f aca="false">SUMPRODUCT((N2:N43&gt;1)/N2:N43)</f>
        <v>1</v>
      </c>
    </row>
    <row r="47" customFormat="false" ht="15" hidden="false" customHeight="false" outlineLevel="0" collapsed="false">
      <c r="A47" s="2"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9"/>
    <col collapsed="false" customWidth="true" hidden="false" outlineLevel="0" max="4" min="4" style="0" width="20"/>
    <col collapsed="false" customWidth="true" hidden="false" outlineLevel="0" max="5" min="5" style="0" width="28"/>
  </cols>
  <sheetData>
    <row r="1" customFormat="false" ht="23.85" hidden="false" customHeight="false" outlineLevel="0" collapsed="false">
      <c r="A1" s="7" t="s">
        <v>224</v>
      </c>
      <c r="B1" s="7" t="s">
        <v>594</v>
      </c>
      <c r="C1" s="7" t="s">
        <v>39</v>
      </c>
      <c r="D1" s="7" t="s">
        <v>595</v>
      </c>
      <c r="E1" s="7" t="s">
        <v>596</v>
      </c>
    </row>
    <row r="2" customFormat="false" ht="15" hidden="false" customHeight="false" outlineLevel="0" collapsed="false">
      <c r="A2" s="13" t="s">
        <v>51</v>
      </c>
      <c r="B2" s="13" t="s">
        <v>597</v>
      </c>
      <c r="C2" s="13" t="s">
        <v>47</v>
      </c>
      <c r="D2" s="13" t="s">
        <v>52</v>
      </c>
      <c r="E2" s="13"/>
    </row>
    <row r="3" customFormat="false" ht="15" hidden="false" customHeight="false" outlineLevel="0" collapsed="false">
      <c r="A3" s="13" t="s">
        <v>55</v>
      </c>
      <c r="B3" s="13" t="s">
        <v>597</v>
      </c>
      <c r="C3" s="13" t="s">
        <v>53</v>
      </c>
      <c r="D3" s="13" t="s">
        <v>52</v>
      </c>
      <c r="E3" s="13"/>
    </row>
    <row r="4" customFormat="false" ht="15" hidden="false" customHeight="false" outlineLevel="0" collapsed="false">
      <c r="A4" s="13" t="s">
        <v>58</v>
      </c>
      <c r="B4" s="13" t="s">
        <v>597</v>
      </c>
      <c r="C4" s="13" t="s">
        <v>56</v>
      </c>
      <c r="D4" s="13" t="s">
        <v>52</v>
      </c>
      <c r="E4" s="13"/>
    </row>
    <row r="5" customFormat="false" ht="15" hidden="false" customHeight="false" outlineLevel="0" collapsed="false">
      <c r="A5" s="13" t="s">
        <v>61</v>
      </c>
      <c r="B5" s="13" t="s">
        <v>597</v>
      </c>
      <c r="C5" s="13" t="s">
        <v>59</v>
      </c>
      <c r="D5" s="13" t="s">
        <v>52</v>
      </c>
      <c r="E5" s="13"/>
    </row>
    <row r="6" customFormat="false" ht="15" hidden="false" customHeight="false" outlineLevel="0" collapsed="false">
      <c r="A6" s="13" t="s">
        <v>64</v>
      </c>
      <c r="B6" s="13" t="s">
        <v>597</v>
      </c>
      <c r="C6" s="13" t="s">
        <v>62</v>
      </c>
      <c r="D6" s="13" t="s">
        <v>52</v>
      </c>
      <c r="E6" s="13"/>
    </row>
    <row r="7" customFormat="false" ht="15" hidden="false" customHeight="false" outlineLevel="0" collapsed="false">
      <c r="A7" s="13" t="s">
        <v>67</v>
      </c>
      <c r="B7" s="13" t="s">
        <v>597</v>
      </c>
      <c r="C7" s="13" t="s">
        <v>65</v>
      </c>
      <c r="D7" s="13" t="s">
        <v>52</v>
      </c>
      <c r="E7" s="13"/>
    </row>
    <row r="8" customFormat="false" ht="15" hidden="false" customHeight="false" outlineLevel="0" collapsed="false">
      <c r="A8" s="13" t="s">
        <v>70</v>
      </c>
      <c r="B8" s="13" t="s">
        <v>597</v>
      </c>
      <c r="C8" s="13" t="s">
        <v>68</v>
      </c>
      <c r="D8" s="13" t="s">
        <v>52</v>
      </c>
      <c r="E8" s="13"/>
    </row>
    <row r="9" customFormat="false" ht="15" hidden="false" customHeight="false" outlineLevel="0" collapsed="false">
      <c r="A9" s="13" t="s">
        <v>73</v>
      </c>
      <c r="B9" s="13" t="s">
        <v>597</v>
      </c>
      <c r="C9" s="13" t="s">
        <v>71</v>
      </c>
      <c r="D9" s="13" t="s">
        <v>52</v>
      </c>
      <c r="E9" s="13"/>
    </row>
    <row r="10" customFormat="false" ht="15" hidden="false" customHeight="false" outlineLevel="0" collapsed="false">
      <c r="A10" s="13" t="s">
        <v>77</v>
      </c>
      <c r="B10" s="13" t="s">
        <v>597</v>
      </c>
      <c r="C10" s="13" t="s">
        <v>74</v>
      </c>
      <c r="D10" s="13" t="s">
        <v>290</v>
      </c>
      <c r="E10" s="13" t="s">
        <v>291</v>
      </c>
    </row>
    <row r="11" customFormat="false" ht="15" hidden="false" customHeight="false" outlineLevel="0" collapsed="false">
      <c r="A11" s="13" t="s">
        <v>81</v>
      </c>
      <c r="B11" s="13" t="s">
        <v>597</v>
      </c>
      <c r="C11" s="13" t="s">
        <v>79</v>
      </c>
      <c r="D11" s="13" t="s">
        <v>290</v>
      </c>
      <c r="E11" s="13" t="s">
        <v>291</v>
      </c>
    </row>
    <row r="12" customFormat="false" ht="15" hidden="false" customHeight="false" outlineLevel="0" collapsed="false">
      <c r="A12" s="13" t="s">
        <v>84</v>
      </c>
      <c r="B12" s="13" t="s">
        <v>597</v>
      </c>
      <c r="C12" s="13" t="s">
        <v>82</v>
      </c>
      <c r="D12" s="13" t="s">
        <v>296</v>
      </c>
      <c r="E12" s="13" t="s">
        <v>297</v>
      </c>
    </row>
    <row r="13" customFormat="false" ht="15" hidden="false" customHeight="false" outlineLevel="0" collapsed="false">
      <c r="A13" s="13" t="s">
        <v>89</v>
      </c>
      <c r="B13" s="13" t="s">
        <v>597</v>
      </c>
      <c r="C13" s="13" t="s">
        <v>86</v>
      </c>
      <c r="D13" s="13" t="s">
        <v>296</v>
      </c>
      <c r="E13" s="13" t="s">
        <v>300</v>
      </c>
    </row>
    <row r="14" customFormat="false" ht="15" hidden="false" customHeight="false" outlineLevel="0" collapsed="false">
      <c r="A14" s="13" t="s">
        <v>93</v>
      </c>
      <c r="B14" s="13" t="s">
        <v>597</v>
      </c>
      <c r="C14" s="13" t="s">
        <v>91</v>
      </c>
      <c r="D14" s="13" t="s">
        <v>296</v>
      </c>
      <c r="E14" s="13" t="s">
        <v>300</v>
      </c>
    </row>
    <row r="15" customFormat="false" ht="15" hidden="false" customHeight="false" outlineLevel="0" collapsed="false">
      <c r="A15" s="13" t="s">
        <v>96</v>
      </c>
      <c r="B15" s="13" t="s">
        <v>597</v>
      </c>
      <c r="C15" s="13" t="s">
        <v>94</v>
      </c>
      <c r="D15" s="13" t="s">
        <v>296</v>
      </c>
      <c r="E15" s="13" t="s">
        <v>300</v>
      </c>
    </row>
    <row r="16" customFormat="false" ht="15" hidden="false" customHeight="false" outlineLevel="0" collapsed="false">
      <c r="A16" s="13" t="s">
        <v>99</v>
      </c>
      <c r="B16" s="13" t="s">
        <v>597</v>
      </c>
      <c r="C16" s="13" t="s">
        <v>97</v>
      </c>
      <c r="D16" s="13" t="s">
        <v>296</v>
      </c>
      <c r="E16" s="13" t="s">
        <v>300</v>
      </c>
    </row>
    <row r="17" customFormat="false" ht="15" hidden="false" customHeight="false" outlineLevel="0" collapsed="false">
      <c r="A17" s="13" t="s">
        <v>102</v>
      </c>
      <c r="B17" s="13" t="s">
        <v>597</v>
      </c>
      <c r="C17" s="13" t="s">
        <v>100</v>
      </c>
      <c r="D17" s="13" t="s">
        <v>296</v>
      </c>
      <c r="E17" s="13" t="s">
        <v>300</v>
      </c>
    </row>
    <row r="18" customFormat="false" ht="15" hidden="false" customHeight="false" outlineLevel="0" collapsed="false">
      <c r="A18" s="13" t="s">
        <v>307</v>
      </c>
      <c r="B18" s="13" t="s">
        <v>597</v>
      </c>
      <c r="C18" s="13" t="s">
        <v>103</v>
      </c>
      <c r="D18" s="13" t="s">
        <v>52</v>
      </c>
      <c r="E18" s="13"/>
    </row>
    <row r="19" customFormat="false" ht="15" hidden="false" customHeight="false" outlineLevel="0" collapsed="false">
      <c r="A19" s="13" t="s">
        <v>310</v>
      </c>
      <c r="B19" s="13" t="s">
        <v>597</v>
      </c>
      <c r="C19" s="13" t="s">
        <v>108</v>
      </c>
      <c r="D19" s="13" t="s">
        <v>52</v>
      </c>
      <c r="E19" s="13"/>
    </row>
    <row r="20" customFormat="false" ht="15" hidden="false" customHeight="false" outlineLevel="0" collapsed="false">
      <c r="A20" s="13" t="s">
        <v>312</v>
      </c>
      <c r="B20" s="13" t="s">
        <v>597</v>
      </c>
      <c r="C20" s="13" t="s">
        <v>112</v>
      </c>
      <c r="D20" s="13" t="s">
        <v>296</v>
      </c>
      <c r="E20" s="13" t="s">
        <v>315</v>
      </c>
    </row>
    <row r="21" customFormat="false" ht="15" hidden="false" customHeight="false" outlineLevel="0" collapsed="false">
      <c r="A21" s="13" t="s">
        <v>316</v>
      </c>
      <c r="B21" s="13" t="s">
        <v>597</v>
      </c>
      <c r="C21" s="13" t="s">
        <v>116</v>
      </c>
      <c r="D21" s="13" t="s">
        <v>296</v>
      </c>
      <c r="E21" s="13" t="s">
        <v>315</v>
      </c>
    </row>
    <row r="22" customFormat="false" ht="15" hidden="false" customHeight="false" outlineLevel="0" collapsed="false">
      <c r="A22" s="13" t="s">
        <v>318</v>
      </c>
      <c r="B22" s="13" t="s">
        <v>597</v>
      </c>
      <c r="C22" s="13" t="s">
        <v>120</v>
      </c>
      <c r="D22" s="13" t="s">
        <v>290</v>
      </c>
      <c r="E22" s="13" t="s">
        <v>291</v>
      </c>
    </row>
    <row r="23" customFormat="false" ht="15" hidden="false" customHeight="false" outlineLevel="0" collapsed="false">
      <c r="A23" s="13" t="s">
        <v>321</v>
      </c>
      <c r="B23" s="13" t="s">
        <v>597</v>
      </c>
      <c r="C23" s="13" t="s">
        <v>124</v>
      </c>
      <c r="D23" s="13" t="s">
        <v>296</v>
      </c>
      <c r="E23" s="13" t="s">
        <v>324</v>
      </c>
    </row>
    <row r="24" customFormat="false" ht="15" hidden="false" customHeight="false" outlineLevel="0" collapsed="false">
      <c r="A24" s="13" t="s">
        <v>132</v>
      </c>
      <c r="B24" s="13" t="s">
        <v>597</v>
      </c>
      <c r="C24" s="13" t="s">
        <v>129</v>
      </c>
      <c r="D24" s="13" t="s">
        <v>296</v>
      </c>
      <c r="E24" s="13" t="s">
        <v>328</v>
      </c>
    </row>
    <row r="25" customFormat="false" ht="15" hidden="false" customHeight="false" outlineLevel="0" collapsed="false">
      <c r="A25" s="13" t="s">
        <v>136</v>
      </c>
      <c r="B25" s="13" t="s">
        <v>597</v>
      </c>
      <c r="C25" s="13" t="s">
        <v>134</v>
      </c>
      <c r="D25" s="13" t="s">
        <v>296</v>
      </c>
      <c r="E25" s="13" t="s">
        <v>328</v>
      </c>
    </row>
    <row r="26" customFormat="false" ht="15" hidden="false" customHeight="false" outlineLevel="0" collapsed="false">
      <c r="A26" s="13" t="s">
        <v>139</v>
      </c>
      <c r="B26" s="13" t="s">
        <v>597</v>
      </c>
      <c r="C26" s="13" t="s">
        <v>137</v>
      </c>
      <c r="D26" s="13" t="s">
        <v>296</v>
      </c>
      <c r="E26" s="13" t="s">
        <v>328</v>
      </c>
    </row>
    <row r="27" customFormat="false" ht="15" hidden="false" customHeight="false" outlineLevel="0" collapsed="false">
      <c r="A27" s="13" t="s">
        <v>143</v>
      </c>
      <c r="B27" s="13" t="s">
        <v>597</v>
      </c>
      <c r="C27" s="13" t="s">
        <v>140</v>
      </c>
      <c r="D27" s="13" t="s">
        <v>296</v>
      </c>
      <c r="E27" s="13" t="s">
        <v>324</v>
      </c>
    </row>
    <row r="28" customFormat="false" ht="15" hidden="false" customHeight="false" outlineLevel="0" collapsed="false">
      <c r="A28" s="13" t="s">
        <v>147</v>
      </c>
      <c r="B28" s="13" t="s">
        <v>597</v>
      </c>
      <c r="C28" s="13" t="s">
        <v>145</v>
      </c>
      <c r="D28" s="13" t="s">
        <v>296</v>
      </c>
      <c r="E28" s="13" t="s">
        <v>338</v>
      </c>
    </row>
    <row r="29" customFormat="false" ht="15" hidden="false" customHeight="false" outlineLevel="0" collapsed="false">
      <c r="A29" s="13" t="s">
        <v>151</v>
      </c>
      <c r="B29" s="13" t="s">
        <v>597</v>
      </c>
      <c r="C29" s="13" t="s">
        <v>149</v>
      </c>
      <c r="D29" s="13" t="s">
        <v>296</v>
      </c>
      <c r="E29" s="13" t="s">
        <v>324</v>
      </c>
    </row>
    <row r="30" customFormat="false" ht="15" hidden="false" customHeight="false" outlineLevel="0" collapsed="false">
      <c r="A30" s="13" t="s">
        <v>155</v>
      </c>
      <c r="B30" s="13" t="s">
        <v>597</v>
      </c>
      <c r="C30" s="13" t="s">
        <v>152</v>
      </c>
      <c r="D30" s="13" t="s">
        <v>296</v>
      </c>
      <c r="E30" s="13" t="s">
        <v>344</v>
      </c>
    </row>
    <row r="31" customFormat="false" ht="15" hidden="false" customHeight="false" outlineLevel="0" collapsed="false">
      <c r="A31" s="13" t="s">
        <v>159</v>
      </c>
      <c r="B31" s="13" t="s">
        <v>597</v>
      </c>
      <c r="C31" s="13" t="s">
        <v>157</v>
      </c>
      <c r="D31" s="13" t="s">
        <v>296</v>
      </c>
      <c r="E31" s="13" t="s">
        <v>347</v>
      </c>
    </row>
    <row r="32" customFormat="false" ht="15" hidden="false" customHeight="false" outlineLevel="0" collapsed="false">
      <c r="A32" s="13" t="s">
        <v>163</v>
      </c>
      <c r="B32" s="13" t="s">
        <v>597</v>
      </c>
      <c r="C32" s="13" t="s">
        <v>161</v>
      </c>
      <c r="D32" s="13" t="s">
        <v>296</v>
      </c>
      <c r="E32" s="13" t="s">
        <v>324</v>
      </c>
    </row>
    <row r="33" customFormat="false" ht="15" hidden="false" customHeight="false" outlineLevel="0" collapsed="false">
      <c r="A33" s="13" t="s">
        <v>166</v>
      </c>
      <c r="B33" s="13" t="s">
        <v>597</v>
      </c>
      <c r="C33" s="13" t="s">
        <v>164</v>
      </c>
      <c r="D33" s="13" t="s">
        <v>296</v>
      </c>
      <c r="E33" s="13" t="s">
        <v>328</v>
      </c>
    </row>
    <row r="34" customFormat="false" ht="15" hidden="false" customHeight="false" outlineLevel="0" collapsed="false">
      <c r="A34" s="13" t="s">
        <v>170</v>
      </c>
      <c r="B34" s="13" t="s">
        <v>597</v>
      </c>
      <c r="C34" s="13" t="s">
        <v>167</v>
      </c>
      <c r="D34" s="13" t="s">
        <v>296</v>
      </c>
      <c r="E34" s="13" t="s">
        <v>353</v>
      </c>
    </row>
    <row r="35" customFormat="false" ht="15" hidden="false" customHeight="false" outlineLevel="0" collapsed="false">
      <c r="A35" s="13" t="s">
        <v>174</v>
      </c>
      <c r="B35" s="13" t="s">
        <v>597</v>
      </c>
      <c r="C35" s="13" t="s">
        <v>172</v>
      </c>
      <c r="D35" s="13" t="s">
        <v>296</v>
      </c>
      <c r="E35" s="13" t="s">
        <v>353</v>
      </c>
    </row>
    <row r="36" customFormat="false" ht="15" hidden="false" customHeight="false" outlineLevel="0" collapsed="false">
      <c r="A36" s="13" t="s">
        <v>177</v>
      </c>
      <c r="B36" s="13" t="s">
        <v>597</v>
      </c>
      <c r="C36" s="13" t="s">
        <v>175</v>
      </c>
      <c r="D36" s="13" t="s">
        <v>296</v>
      </c>
      <c r="E36" s="13" t="s">
        <v>344</v>
      </c>
    </row>
    <row r="37" customFormat="false" ht="15" hidden="false" customHeight="false" outlineLevel="0" collapsed="false">
      <c r="A37" s="13" t="s">
        <v>181</v>
      </c>
      <c r="B37" s="13" t="s">
        <v>597</v>
      </c>
      <c r="C37" s="13" t="s">
        <v>178</v>
      </c>
      <c r="D37" s="13" t="s">
        <v>52</v>
      </c>
      <c r="E37" s="13"/>
    </row>
    <row r="38" customFormat="false" ht="15" hidden="false" customHeight="false" outlineLevel="0" collapsed="false">
      <c r="A38" s="13" t="s">
        <v>185</v>
      </c>
      <c r="B38" s="13" t="s">
        <v>597</v>
      </c>
      <c r="C38" s="13" t="s">
        <v>183</v>
      </c>
      <c r="D38" s="13" t="s">
        <v>52</v>
      </c>
      <c r="E38" s="13"/>
    </row>
    <row r="39" customFormat="false" ht="15" hidden="false" customHeight="false" outlineLevel="0" collapsed="false">
      <c r="A39" s="13" t="s">
        <v>189</v>
      </c>
      <c r="B39" s="13" t="s">
        <v>597</v>
      </c>
      <c r="C39" s="13" t="s">
        <v>187</v>
      </c>
      <c r="D39" s="13" t="s">
        <v>52</v>
      </c>
      <c r="E39" s="13"/>
    </row>
    <row r="40" customFormat="false" ht="15" hidden="false" customHeight="false" outlineLevel="0" collapsed="false">
      <c r="A40" s="13" t="s">
        <v>192</v>
      </c>
      <c r="B40" s="13" t="s">
        <v>597</v>
      </c>
      <c r="C40" s="13" t="s">
        <v>190</v>
      </c>
      <c r="D40" s="13" t="s">
        <v>52</v>
      </c>
      <c r="E40" s="13"/>
    </row>
    <row r="41" customFormat="false" ht="15" hidden="false" customHeight="false" outlineLevel="0" collapsed="false">
      <c r="A41" s="13" t="s">
        <v>196</v>
      </c>
      <c r="B41" s="13" t="s">
        <v>597</v>
      </c>
      <c r="C41" s="13" t="s">
        <v>194</v>
      </c>
      <c r="D41" s="13" t="s">
        <v>52</v>
      </c>
      <c r="E41" s="13"/>
    </row>
    <row r="42" customFormat="false" ht="15" hidden="false" customHeight="false" outlineLevel="0" collapsed="false">
      <c r="A42" s="13" t="s">
        <v>199</v>
      </c>
      <c r="B42" s="13" t="s">
        <v>597</v>
      </c>
      <c r="C42" s="13" t="s">
        <v>197</v>
      </c>
      <c r="D42" s="13" t="s">
        <v>52</v>
      </c>
      <c r="E42" s="13"/>
    </row>
    <row r="43" customFormat="false" ht="15" hidden="false" customHeight="false" outlineLevel="0" collapsed="false">
      <c r="A43" s="13" t="s">
        <v>202</v>
      </c>
      <c r="B43" s="13" t="s">
        <v>597</v>
      </c>
      <c r="C43" s="13" t="s">
        <v>200</v>
      </c>
      <c r="D43" s="13" t="s">
        <v>296</v>
      </c>
      <c r="E43" s="13" t="s">
        <v>353</v>
      </c>
    </row>
    <row r="44" customFormat="false" ht="15" hidden="false" customHeight="false" outlineLevel="0" collapsed="false">
      <c r="A44" s="13" t="s">
        <v>205</v>
      </c>
      <c r="B44" s="13" t="s">
        <v>597</v>
      </c>
      <c r="C44" s="13" t="s">
        <v>203</v>
      </c>
      <c r="D44" s="13" t="s">
        <v>52</v>
      </c>
      <c r="E44" s="13"/>
    </row>
    <row r="45" customFormat="false" ht="15" hidden="false" customHeight="false" outlineLevel="0" collapsed="false">
      <c r="A45" s="13" t="s">
        <v>208</v>
      </c>
      <c r="B45" s="13" t="s">
        <v>597</v>
      </c>
      <c r="C45" s="13" t="s">
        <v>206</v>
      </c>
      <c r="D45" s="13" t="s">
        <v>52</v>
      </c>
      <c r="E45" s="13"/>
    </row>
    <row r="46" customFormat="false" ht="15" hidden="false" customHeight="false" outlineLevel="0" collapsed="false">
      <c r="A46" s="13" t="s">
        <v>211</v>
      </c>
      <c r="B46" s="13" t="s">
        <v>597</v>
      </c>
      <c r="C46" s="13" t="s">
        <v>209</v>
      </c>
      <c r="D46" s="13" t="s">
        <v>52</v>
      </c>
      <c r="E46" s="13"/>
    </row>
    <row r="47" customFormat="false" ht="15" hidden="false" customHeight="false" outlineLevel="0" collapsed="false">
      <c r="A47" s="13" t="s">
        <v>214</v>
      </c>
      <c r="B47" s="13" t="s">
        <v>597</v>
      </c>
      <c r="C47" s="13" t="s">
        <v>212</v>
      </c>
      <c r="D47" s="13" t="s">
        <v>52</v>
      </c>
      <c r="E47" s="13"/>
    </row>
    <row r="48" customFormat="false" ht="15" hidden="false" customHeight="false" outlineLevel="0" collapsed="false">
      <c r="A48" s="13" t="s">
        <v>217</v>
      </c>
      <c r="B48" s="13" t="s">
        <v>597</v>
      </c>
      <c r="C48" s="13" t="s">
        <v>215</v>
      </c>
      <c r="D48" s="13" t="s">
        <v>52</v>
      </c>
      <c r="E48" s="13"/>
    </row>
    <row r="49" customFormat="false" ht="15" hidden="false" customHeight="false" outlineLevel="0" collapsed="false">
      <c r="A49" s="13" t="s">
        <v>220</v>
      </c>
      <c r="B49" s="13" t="s">
        <v>597</v>
      </c>
      <c r="C49" s="13" t="s">
        <v>218</v>
      </c>
      <c r="D49" s="13" t="s">
        <v>290</v>
      </c>
      <c r="E49" s="13" t="s">
        <v>291</v>
      </c>
    </row>
    <row r="50" customFormat="false" ht="15" hidden="false" customHeight="false" outlineLevel="0" collapsed="false">
      <c r="A50" s="13" t="s">
        <v>393</v>
      </c>
      <c r="B50" s="13" t="s">
        <v>597</v>
      </c>
      <c r="C50" s="13" t="s">
        <v>103</v>
      </c>
      <c r="D50" s="13" t="s">
        <v>290</v>
      </c>
      <c r="E50" s="13" t="s">
        <v>396</v>
      </c>
    </row>
    <row r="51" customFormat="false" ht="15" hidden="false" customHeight="false" outlineLevel="0" collapsed="false">
      <c r="A51" s="13" t="s">
        <v>397</v>
      </c>
      <c r="B51" s="13" t="s">
        <v>597</v>
      </c>
      <c r="C51" s="13" t="s">
        <v>108</v>
      </c>
      <c r="D51" s="13" t="s">
        <v>290</v>
      </c>
      <c r="E51" s="13" t="s">
        <v>396</v>
      </c>
    </row>
    <row r="52" customFormat="false" ht="15" hidden="false" customHeight="false" outlineLevel="0" collapsed="false">
      <c r="A52" s="13" t="s">
        <v>398</v>
      </c>
      <c r="B52" s="13" t="s">
        <v>597</v>
      </c>
      <c r="C52" s="13" t="s">
        <v>116</v>
      </c>
      <c r="D52" s="13" t="s">
        <v>296</v>
      </c>
      <c r="E52" s="13" t="s">
        <v>315</v>
      </c>
    </row>
    <row r="53" customFormat="false" ht="15" hidden="false" customHeight="false" outlineLevel="0" collapsed="false">
      <c r="A53" s="13" t="s">
        <v>399</v>
      </c>
      <c r="B53" s="13" t="s">
        <v>597</v>
      </c>
      <c r="C53" s="13" t="s">
        <v>124</v>
      </c>
      <c r="D53" s="13" t="s">
        <v>290</v>
      </c>
      <c r="E53" s="13" t="s">
        <v>396</v>
      </c>
    </row>
    <row r="54" customFormat="false" ht="15" hidden="false" customHeight="false" outlineLevel="0" collapsed="false">
      <c r="A54" s="13" t="s">
        <v>400</v>
      </c>
      <c r="B54" s="13" t="s">
        <v>597</v>
      </c>
      <c r="C54" s="13" t="s">
        <v>108</v>
      </c>
      <c r="D54" s="13" t="s">
        <v>290</v>
      </c>
      <c r="E54" s="13" t="s">
        <v>396</v>
      </c>
    </row>
    <row r="55" customFormat="false" ht="15" hidden="false" customHeight="false" outlineLevel="0" collapsed="false">
      <c r="A55" s="13" t="s">
        <v>403</v>
      </c>
      <c r="B55" s="13" t="s">
        <v>597</v>
      </c>
      <c r="C55" s="13" t="s">
        <v>120</v>
      </c>
      <c r="D55" s="13" t="s">
        <v>52</v>
      </c>
      <c r="E55" s="13"/>
    </row>
    <row r="56" customFormat="false" ht="15" hidden="false" customHeight="false" outlineLevel="0" collapsed="false">
      <c r="A56" s="13" t="s">
        <v>404</v>
      </c>
      <c r="B56" s="13" t="s">
        <v>597</v>
      </c>
      <c r="C56" s="13" t="s">
        <v>112</v>
      </c>
      <c r="D56" s="13" t="s">
        <v>296</v>
      </c>
      <c r="E56" s="13" t="s">
        <v>315</v>
      </c>
    </row>
    <row r="57" customFormat="false" ht="15" hidden="false" customHeight="false" outlineLevel="0" collapsed="false">
      <c r="A57" s="13" t="s">
        <v>407</v>
      </c>
      <c r="B57" s="13" t="s">
        <v>597</v>
      </c>
      <c r="C57" s="13" t="s">
        <v>116</v>
      </c>
      <c r="D57" s="13" t="s">
        <v>296</v>
      </c>
      <c r="E57" s="13" t="s">
        <v>315</v>
      </c>
    </row>
    <row r="58" customFormat="false" ht="15" hidden="false" customHeight="false" outlineLevel="0" collapsed="false">
      <c r="A58" s="13" t="s">
        <v>51</v>
      </c>
      <c r="B58" s="13" t="s">
        <v>598</v>
      </c>
      <c r="C58" s="13" t="s">
        <v>47</v>
      </c>
      <c r="D58" s="13" t="s">
        <v>52</v>
      </c>
      <c r="E58" s="13"/>
    </row>
    <row r="59" customFormat="false" ht="15" hidden="false" customHeight="false" outlineLevel="0" collapsed="false">
      <c r="A59" s="13" t="s">
        <v>55</v>
      </c>
      <c r="B59" s="13" t="s">
        <v>598</v>
      </c>
      <c r="C59" s="13" t="s">
        <v>53</v>
      </c>
      <c r="D59" s="13" t="s">
        <v>52</v>
      </c>
      <c r="E59" s="13"/>
    </row>
    <row r="60" customFormat="false" ht="15" hidden="false" customHeight="false" outlineLevel="0" collapsed="false">
      <c r="A60" s="13" t="s">
        <v>58</v>
      </c>
      <c r="B60" s="13" t="s">
        <v>598</v>
      </c>
      <c r="C60" s="13" t="s">
        <v>56</v>
      </c>
      <c r="D60" s="13" t="s">
        <v>52</v>
      </c>
      <c r="E60" s="13"/>
    </row>
    <row r="61" customFormat="false" ht="15" hidden="false" customHeight="false" outlineLevel="0" collapsed="false">
      <c r="A61" s="13" t="s">
        <v>61</v>
      </c>
      <c r="B61" s="13" t="s">
        <v>598</v>
      </c>
      <c r="C61" s="13" t="s">
        <v>59</v>
      </c>
      <c r="D61" s="13" t="s">
        <v>52</v>
      </c>
      <c r="E61" s="13"/>
    </row>
    <row r="62" customFormat="false" ht="15" hidden="false" customHeight="false" outlineLevel="0" collapsed="false">
      <c r="A62" s="13" t="s">
        <v>64</v>
      </c>
      <c r="B62" s="13" t="s">
        <v>598</v>
      </c>
      <c r="C62" s="13" t="s">
        <v>62</v>
      </c>
      <c r="D62" s="13" t="s">
        <v>52</v>
      </c>
      <c r="E62" s="13"/>
    </row>
    <row r="63" customFormat="false" ht="15" hidden="false" customHeight="false" outlineLevel="0" collapsed="false">
      <c r="A63" s="13" t="s">
        <v>67</v>
      </c>
      <c r="B63" s="13" t="s">
        <v>598</v>
      </c>
      <c r="C63" s="13" t="s">
        <v>65</v>
      </c>
      <c r="D63" s="13" t="s">
        <v>52</v>
      </c>
      <c r="E63" s="13"/>
    </row>
    <row r="64" customFormat="false" ht="15" hidden="false" customHeight="false" outlineLevel="0" collapsed="false">
      <c r="A64" s="13" t="s">
        <v>70</v>
      </c>
      <c r="B64" s="13" t="s">
        <v>598</v>
      </c>
      <c r="C64" s="13" t="s">
        <v>68</v>
      </c>
      <c r="D64" s="13" t="s">
        <v>52</v>
      </c>
      <c r="E64" s="13"/>
    </row>
    <row r="65" customFormat="false" ht="15" hidden="false" customHeight="false" outlineLevel="0" collapsed="false">
      <c r="A65" s="13" t="s">
        <v>73</v>
      </c>
      <c r="B65" s="13" t="s">
        <v>598</v>
      </c>
      <c r="C65" s="13" t="s">
        <v>71</v>
      </c>
      <c r="D65" s="13" t="s">
        <v>52</v>
      </c>
      <c r="E65" s="13"/>
    </row>
    <row r="66" customFormat="false" ht="15" hidden="false" customHeight="false" outlineLevel="0" collapsed="false">
      <c r="A66" s="13" t="s">
        <v>77</v>
      </c>
      <c r="B66" s="13" t="s">
        <v>598</v>
      </c>
      <c r="C66" s="13" t="s">
        <v>74</v>
      </c>
      <c r="D66" s="13" t="s">
        <v>290</v>
      </c>
      <c r="E66" s="13" t="s">
        <v>291</v>
      </c>
    </row>
    <row r="67" customFormat="false" ht="15" hidden="false" customHeight="false" outlineLevel="0" collapsed="false">
      <c r="A67" s="13" t="s">
        <v>81</v>
      </c>
      <c r="B67" s="13" t="s">
        <v>598</v>
      </c>
      <c r="C67" s="13" t="s">
        <v>79</v>
      </c>
      <c r="D67" s="13" t="s">
        <v>290</v>
      </c>
      <c r="E67" s="13" t="s">
        <v>291</v>
      </c>
    </row>
    <row r="68" customFormat="false" ht="15" hidden="false" customHeight="false" outlineLevel="0" collapsed="false">
      <c r="A68" s="13" t="s">
        <v>84</v>
      </c>
      <c r="B68" s="13" t="s">
        <v>598</v>
      </c>
      <c r="C68" s="13" t="s">
        <v>82</v>
      </c>
      <c r="D68" s="13" t="s">
        <v>296</v>
      </c>
      <c r="E68" s="13" t="s">
        <v>297</v>
      </c>
    </row>
    <row r="69" customFormat="false" ht="15" hidden="false" customHeight="false" outlineLevel="0" collapsed="false">
      <c r="A69" s="13" t="s">
        <v>89</v>
      </c>
      <c r="B69" s="13" t="s">
        <v>598</v>
      </c>
      <c r="C69" s="13" t="s">
        <v>86</v>
      </c>
      <c r="D69" s="13" t="s">
        <v>296</v>
      </c>
      <c r="E69" s="13" t="s">
        <v>300</v>
      </c>
    </row>
    <row r="70" customFormat="false" ht="15" hidden="false" customHeight="false" outlineLevel="0" collapsed="false">
      <c r="A70" s="13" t="s">
        <v>93</v>
      </c>
      <c r="B70" s="13" t="s">
        <v>598</v>
      </c>
      <c r="C70" s="13" t="s">
        <v>91</v>
      </c>
      <c r="D70" s="13" t="s">
        <v>296</v>
      </c>
      <c r="E70" s="13" t="s">
        <v>300</v>
      </c>
    </row>
    <row r="71" customFormat="false" ht="15" hidden="false" customHeight="false" outlineLevel="0" collapsed="false">
      <c r="A71" s="13" t="s">
        <v>96</v>
      </c>
      <c r="B71" s="13" t="s">
        <v>598</v>
      </c>
      <c r="C71" s="13" t="s">
        <v>94</v>
      </c>
      <c r="D71" s="13" t="s">
        <v>296</v>
      </c>
      <c r="E71" s="13" t="s">
        <v>300</v>
      </c>
    </row>
    <row r="72" customFormat="false" ht="15" hidden="false" customHeight="false" outlineLevel="0" collapsed="false">
      <c r="A72" s="13" t="s">
        <v>99</v>
      </c>
      <c r="B72" s="13" t="s">
        <v>598</v>
      </c>
      <c r="C72" s="13" t="s">
        <v>97</v>
      </c>
      <c r="D72" s="13" t="s">
        <v>296</v>
      </c>
      <c r="E72" s="13" t="s">
        <v>300</v>
      </c>
    </row>
    <row r="73" customFormat="false" ht="15" hidden="false" customHeight="false" outlineLevel="0" collapsed="false">
      <c r="A73" s="13" t="s">
        <v>102</v>
      </c>
      <c r="B73" s="13" t="s">
        <v>598</v>
      </c>
      <c r="C73" s="13" t="s">
        <v>100</v>
      </c>
      <c r="D73" s="13" t="s">
        <v>296</v>
      </c>
      <c r="E73" s="13" t="s">
        <v>300</v>
      </c>
    </row>
    <row r="74" customFormat="false" ht="15" hidden="false" customHeight="false" outlineLevel="0" collapsed="false">
      <c r="A74" s="13" t="s">
        <v>307</v>
      </c>
      <c r="B74" s="13" t="s">
        <v>598</v>
      </c>
      <c r="C74" s="13" t="s">
        <v>103</v>
      </c>
      <c r="D74" s="13" t="s">
        <v>52</v>
      </c>
      <c r="E74" s="13"/>
    </row>
    <row r="75" customFormat="false" ht="15" hidden="false" customHeight="false" outlineLevel="0" collapsed="false">
      <c r="A75" s="13" t="s">
        <v>310</v>
      </c>
      <c r="B75" s="13" t="s">
        <v>598</v>
      </c>
      <c r="C75" s="13" t="s">
        <v>108</v>
      </c>
      <c r="D75" s="13" t="s">
        <v>52</v>
      </c>
      <c r="E75" s="13"/>
    </row>
    <row r="76" customFormat="false" ht="15" hidden="false" customHeight="false" outlineLevel="0" collapsed="false">
      <c r="A76" s="13" t="s">
        <v>312</v>
      </c>
      <c r="B76" s="13" t="s">
        <v>598</v>
      </c>
      <c r="C76" s="13" t="s">
        <v>112</v>
      </c>
      <c r="D76" s="13" t="s">
        <v>296</v>
      </c>
      <c r="E76" s="13" t="s">
        <v>315</v>
      </c>
    </row>
    <row r="77" customFormat="false" ht="15" hidden="false" customHeight="false" outlineLevel="0" collapsed="false">
      <c r="A77" s="13" t="s">
        <v>316</v>
      </c>
      <c r="B77" s="13" t="s">
        <v>598</v>
      </c>
      <c r="C77" s="13" t="s">
        <v>116</v>
      </c>
      <c r="D77" s="13" t="s">
        <v>296</v>
      </c>
      <c r="E77" s="13" t="s">
        <v>315</v>
      </c>
    </row>
    <row r="78" customFormat="false" ht="15" hidden="false" customHeight="false" outlineLevel="0" collapsed="false">
      <c r="A78" s="13" t="s">
        <v>318</v>
      </c>
      <c r="B78" s="13" t="s">
        <v>598</v>
      </c>
      <c r="C78" s="13" t="s">
        <v>120</v>
      </c>
      <c r="D78" s="13" t="s">
        <v>290</v>
      </c>
      <c r="E78" s="13" t="s">
        <v>291</v>
      </c>
    </row>
    <row r="79" customFormat="false" ht="15" hidden="false" customHeight="false" outlineLevel="0" collapsed="false">
      <c r="A79" s="13" t="s">
        <v>321</v>
      </c>
      <c r="B79" s="13" t="s">
        <v>598</v>
      </c>
      <c r="C79" s="13" t="s">
        <v>124</v>
      </c>
      <c r="D79" s="13" t="s">
        <v>296</v>
      </c>
      <c r="E79" s="13" t="s">
        <v>324</v>
      </c>
    </row>
    <row r="80" customFormat="false" ht="15" hidden="false" customHeight="false" outlineLevel="0" collapsed="false">
      <c r="A80" s="13" t="s">
        <v>132</v>
      </c>
      <c r="B80" s="13" t="s">
        <v>598</v>
      </c>
      <c r="C80" s="13" t="s">
        <v>129</v>
      </c>
      <c r="D80" s="13" t="s">
        <v>296</v>
      </c>
      <c r="E80" s="13" t="s">
        <v>328</v>
      </c>
    </row>
    <row r="81" customFormat="false" ht="15" hidden="false" customHeight="false" outlineLevel="0" collapsed="false">
      <c r="A81" s="13" t="s">
        <v>136</v>
      </c>
      <c r="B81" s="13" t="s">
        <v>598</v>
      </c>
      <c r="C81" s="13" t="s">
        <v>134</v>
      </c>
      <c r="D81" s="13" t="s">
        <v>296</v>
      </c>
      <c r="E81" s="13" t="s">
        <v>328</v>
      </c>
    </row>
    <row r="82" customFormat="false" ht="15" hidden="false" customHeight="false" outlineLevel="0" collapsed="false">
      <c r="A82" s="13" t="s">
        <v>139</v>
      </c>
      <c r="B82" s="13" t="s">
        <v>598</v>
      </c>
      <c r="C82" s="13" t="s">
        <v>137</v>
      </c>
      <c r="D82" s="13" t="s">
        <v>296</v>
      </c>
      <c r="E82" s="13" t="s">
        <v>328</v>
      </c>
    </row>
    <row r="83" customFormat="false" ht="15" hidden="false" customHeight="false" outlineLevel="0" collapsed="false">
      <c r="A83" s="13" t="s">
        <v>143</v>
      </c>
      <c r="B83" s="13" t="s">
        <v>598</v>
      </c>
      <c r="C83" s="13" t="s">
        <v>140</v>
      </c>
      <c r="D83" s="13" t="s">
        <v>296</v>
      </c>
      <c r="E83" s="13" t="s">
        <v>324</v>
      </c>
    </row>
    <row r="84" customFormat="false" ht="15" hidden="false" customHeight="false" outlineLevel="0" collapsed="false">
      <c r="A84" s="13" t="s">
        <v>147</v>
      </c>
      <c r="B84" s="13" t="s">
        <v>598</v>
      </c>
      <c r="C84" s="13" t="s">
        <v>145</v>
      </c>
      <c r="D84" s="13" t="s">
        <v>296</v>
      </c>
      <c r="E84" s="13" t="s">
        <v>338</v>
      </c>
    </row>
    <row r="85" customFormat="false" ht="15" hidden="false" customHeight="false" outlineLevel="0" collapsed="false">
      <c r="A85" s="13" t="s">
        <v>151</v>
      </c>
      <c r="B85" s="13" t="s">
        <v>598</v>
      </c>
      <c r="C85" s="13" t="s">
        <v>149</v>
      </c>
      <c r="D85" s="13" t="s">
        <v>296</v>
      </c>
      <c r="E85" s="13" t="s">
        <v>324</v>
      </c>
    </row>
    <row r="86" customFormat="false" ht="15" hidden="false" customHeight="false" outlineLevel="0" collapsed="false">
      <c r="A86" s="13" t="s">
        <v>155</v>
      </c>
      <c r="B86" s="13" t="s">
        <v>598</v>
      </c>
      <c r="C86" s="13" t="s">
        <v>152</v>
      </c>
      <c r="D86" s="13" t="s">
        <v>296</v>
      </c>
      <c r="E86" s="13" t="s">
        <v>344</v>
      </c>
    </row>
    <row r="87" customFormat="false" ht="15" hidden="false" customHeight="false" outlineLevel="0" collapsed="false">
      <c r="A87" s="13" t="s">
        <v>159</v>
      </c>
      <c r="B87" s="13" t="s">
        <v>598</v>
      </c>
      <c r="C87" s="13" t="s">
        <v>157</v>
      </c>
      <c r="D87" s="13" t="s">
        <v>296</v>
      </c>
      <c r="E87" s="13" t="s">
        <v>347</v>
      </c>
    </row>
    <row r="88" customFormat="false" ht="15" hidden="false" customHeight="false" outlineLevel="0" collapsed="false">
      <c r="A88" s="13" t="s">
        <v>163</v>
      </c>
      <c r="B88" s="13" t="s">
        <v>598</v>
      </c>
      <c r="C88" s="13" t="s">
        <v>161</v>
      </c>
      <c r="D88" s="13" t="s">
        <v>296</v>
      </c>
      <c r="E88" s="13" t="s">
        <v>324</v>
      </c>
    </row>
    <row r="89" customFormat="false" ht="15" hidden="false" customHeight="false" outlineLevel="0" collapsed="false">
      <c r="A89" s="13" t="s">
        <v>166</v>
      </c>
      <c r="B89" s="13" t="s">
        <v>598</v>
      </c>
      <c r="C89" s="13" t="s">
        <v>164</v>
      </c>
      <c r="D89" s="13" t="s">
        <v>296</v>
      </c>
      <c r="E89" s="13" t="s">
        <v>328</v>
      </c>
    </row>
    <row r="90" customFormat="false" ht="15" hidden="false" customHeight="false" outlineLevel="0" collapsed="false">
      <c r="A90" s="13" t="s">
        <v>170</v>
      </c>
      <c r="B90" s="13" t="s">
        <v>598</v>
      </c>
      <c r="C90" s="13" t="s">
        <v>167</v>
      </c>
      <c r="D90" s="13" t="s">
        <v>296</v>
      </c>
      <c r="E90" s="13" t="s">
        <v>353</v>
      </c>
    </row>
    <row r="91" customFormat="false" ht="15" hidden="false" customHeight="false" outlineLevel="0" collapsed="false">
      <c r="A91" s="13" t="s">
        <v>174</v>
      </c>
      <c r="B91" s="13" t="s">
        <v>598</v>
      </c>
      <c r="C91" s="13" t="s">
        <v>172</v>
      </c>
      <c r="D91" s="13" t="s">
        <v>296</v>
      </c>
      <c r="E91" s="13" t="s">
        <v>353</v>
      </c>
    </row>
    <row r="92" customFormat="false" ht="15" hidden="false" customHeight="false" outlineLevel="0" collapsed="false">
      <c r="A92" s="13" t="s">
        <v>177</v>
      </c>
      <c r="B92" s="13" t="s">
        <v>598</v>
      </c>
      <c r="C92" s="13" t="s">
        <v>175</v>
      </c>
      <c r="D92" s="13" t="s">
        <v>296</v>
      </c>
      <c r="E92" s="13" t="s">
        <v>344</v>
      </c>
    </row>
    <row r="93" customFormat="false" ht="15" hidden="false" customHeight="false" outlineLevel="0" collapsed="false">
      <c r="A93" s="13" t="s">
        <v>181</v>
      </c>
      <c r="B93" s="13" t="s">
        <v>598</v>
      </c>
      <c r="C93" s="13" t="s">
        <v>178</v>
      </c>
      <c r="D93" s="13" t="s">
        <v>296</v>
      </c>
      <c r="E93" s="13" t="s">
        <v>358</v>
      </c>
    </row>
    <row r="94" customFormat="false" ht="15" hidden="false" customHeight="false" outlineLevel="0" collapsed="false">
      <c r="A94" s="13" t="s">
        <v>185</v>
      </c>
      <c r="B94" s="13" t="s">
        <v>598</v>
      </c>
      <c r="C94" s="13" t="s">
        <v>183</v>
      </c>
      <c r="D94" s="13" t="s">
        <v>296</v>
      </c>
      <c r="E94" s="13" t="s">
        <v>360</v>
      </c>
    </row>
    <row r="95" customFormat="false" ht="15" hidden="false" customHeight="false" outlineLevel="0" collapsed="false">
      <c r="A95" s="13" t="s">
        <v>189</v>
      </c>
      <c r="B95" s="13" t="s">
        <v>598</v>
      </c>
      <c r="C95" s="13" t="s">
        <v>187</v>
      </c>
      <c r="D95" s="13" t="s">
        <v>296</v>
      </c>
      <c r="E95" s="13" t="s">
        <v>360</v>
      </c>
    </row>
    <row r="96" customFormat="false" ht="15" hidden="false" customHeight="false" outlineLevel="0" collapsed="false">
      <c r="A96" s="13" t="s">
        <v>192</v>
      </c>
      <c r="B96" s="13" t="s">
        <v>598</v>
      </c>
      <c r="C96" s="13" t="s">
        <v>190</v>
      </c>
      <c r="D96" s="13" t="s">
        <v>296</v>
      </c>
      <c r="E96" s="13" t="s">
        <v>365</v>
      </c>
    </row>
    <row r="97" customFormat="false" ht="15" hidden="false" customHeight="false" outlineLevel="0" collapsed="false">
      <c r="A97" s="13" t="s">
        <v>196</v>
      </c>
      <c r="B97" s="13" t="s">
        <v>598</v>
      </c>
      <c r="C97" s="13" t="s">
        <v>194</v>
      </c>
      <c r="D97" s="13" t="s">
        <v>52</v>
      </c>
      <c r="E97" s="13"/>
    </row>
    <row r="98" customFormat="false" ht="15" hidden="false" customHeight="false" outlineLevel="0" collapsed="false">
      <c r="A98" s="13" t="s">
        <v>199</v>
      </c>
      <c r="B98" s="13" t="s">
        <v>598</v>
      </c>
      <c r="C98" s="13" t="s">
        <v>197</v>
      </c>
      <c r="D98" s="13" t="s">
        <v>296</v>
      </c>
      <c r="E98" s="13" t="s">
        <v>360</v>
      </c>
    </row>
    <row r="99" customFormat="false" ht="15" hidden="false" customHeight="false" outlineLevel="0" collapsed="false">
      <c r="A99" s="13" t="s">
        <v>202</v>
      </c>
      <c r="B99" s="13" t="s">
        <v>598</v>
      </c>
      <c r="C99" s="13" t="s">
        <v>200</v>
      </c>
      <c r="D99" s="13" t="s">
        <v>296</v>
      </c>
      <c r="E99" s="13" t="s">
        <v>353</v>
      </c>
    </row>
    <row r="100" customFormat="false" ht="15" hidden="false" customHeight="false" outlineLevel="0" collapsed="false">
      <c r="A100" s="13" t="s">
        <v>205</v>
      </c>
      <c r="B100" s="13" t="s">
        <v>598</v>
      </c>
      <c r="C100" s="13" t="s">
        <v>203</v>
      </c>
      <c r="D100" s="13" t="s">
        <v>52</v>
      </c>
      <c r="E100" s="13"/>
    </row>
    <row r="101" customFormat="false" ht="15" hidden="false" customHeight="false" outlineLevel="0" collapsed="false">
      <c r="A101" s="13" t="s">
        <v>208</v>
      </c>
      <c r="B101" s="13" t="s">
        <v>598</v>
      </c>
      <c r="C101" s="13" t="s">
        <v>206</v>
      </c>
      <c r="D101" s="13" t="s">
        <v>52</v>
      </c>
      <c r="E101" s="13"/>
    </row>
    <row r="102" customFormat="false" ht="15" hidden="false" customHeight="false" outlineLevel="0" collapsed="false">
      <c r="A102" s="13" t="s">
        <v>211</v>
      </c>
      <c r="B102" s="13" t="s">
        <v>598</v>
      </c>
      <c r="C102" s="13" t="s">
        <v>209</v>
      </c>
      <c r="D102" s="13" t="s">
        <v>52</v>
      </c>
      <c r="E102" s="13"/>
    </row>
    <row r="103" customFormat="false" ht="15" hidden="false" customHeight="false" outlineLevel="0" collapsed="false">
      <c r="A103" s="13" t="s">
        <v>214</v>
      </c>
      <c r="B103" s="13" t="s">
        <v>598</v>
      </c>
      <c r="C103" s="13" t="s">
        <v>212</v>
      </c>
      <c r="D103" s="13" t="s">
        <v>52</v>
      </c>
      <c r="E103" s="13"/>
    </row>
    <row r="104" customFormat="false" ht="15" hidden="false" customHeight="false" outlineLevel="0" collapsed="false">
      <c r="A104" s="13" t="s">
        <v>217</v>
      </c>
      <c r="B104" s="13" t="s">
        <v>598</v>
      </c>
      <c r="C104" s="13" t="s">
        <v>215</v>
      </c>
      <c r="D104" s="13" t="s">
        <v>52</v>
      </c>
      <c r="E104" s="13"/>
    </row>
    <row r="105" customFormat="false" ht="15" hidden="false" customHeight="false" outlineLevel="0" collapsed="false">
      <c r="A105" s="13" t="s">
        <v>220</v>
      </c>
      <c r="B105" s="13" t="s">
        <v>598</v>
      </c>
      <c r="C105" s="13" t="s">
        <v>218</v>
      </c>
      <c r="D105" s="13" t="s">
        <v>290</v>
      </c>
      <c r="E105" s="13" t="s">
        <v>291</v>
      </c>
    </row>
    <row r="106" customFormat="false" ht="15" hidden="false" customHeight="false" outlineLevel="0" collapsed="false">
      <c r="A106" s="13" t="s">
        <v>393</v>
      </c>
      <c r="B106" s="13" t="s">
        <v>598</v>
      </c>
      <c r="C106" s="13" t="s">
        <v>103</v>
      </c>
      <c r="D106" s="13" t="s">
        <v>290</v>
      </c>
      <c r="E106" s="13" t="s">
        <v>396</v>
      </c>
    </row>
    <row r="107" customFormat="false" ht="15" hidden="false" customHeight="false" outlineLevel="0" collapsed="false">
      <c r="A107" s="13" t="s">
        <v>397</v>
      </c>
      <c r="B107" s="13" t="s">
        <v>598</v>
      </c>
      <c r="C107" s="13" t="s">
        <v>108</v>
      </c>
      <c r="D107" s="13" t="s">
        <v>290</v>
      </c>
      <c r="E107" s="13" t="s">
        <v>396</v>
      </c>
    </row>
    <row r="108" customFormat="false" ht="15" hidden="false" customHeight="false" outlineLevel="0" collapsed="false">
      <c r="A108" s="13" t="s">
        <v>398</v>
      </c>
      <c r="B108" s="13" t="s">
        <v>598</v>
      </c>
      <c r="C108" s="13" t="s">
        <v>116</v>
      </c>
      <c r="D108" s="13" t="s">
        <v>296</v>
      </c>
      <c r="E108" s="13" t="s">
        <v>315</v>
      </c>
    </row>
    <row r="109" customFormat="false" ht="15" hidden="false" customHeight="false" outlineLevel="0" collapsed="false">
      <c r="A109" s="13" t="s">
        <v>399</v>
      </c>
      <c r="B109" s="13" t="s">
        <v>598</v>
      </c>
      <c r="C109" s="13" t="s">
        <v>124</v>
      </c>
      <c r="D109" s="13" t="s">
        <v>290</v>
      </c>
      <c r="E109" s="13" t="s">
        <v>396</v>
      </c>
    </row>
    <row r="110" customFormat="false" ht="15" hidden="false" customHeight="false" outlineLevel="0" collapsed="false">
      <c r="A110" s="13" t="s">
        <v>400</v>
      </c>
      <c r="B110" s="13" t="s">
        <v>598</v>
      </c>
      <c r="C110" s="13" t="s">
        <v>108</v>
      </c>
      <c r="D110" s="13" t="s">
        <v>290</v>
      </c>
      <c r="E110" s="13" t="s">
        <v>396</v>
      </c>
    </row>
    <row r="111" customFormat="false" ht="15" hidden="false" customHeight="false" outlineLevel="0" collapsed="false">
      <c r="A111" s="13" t="s">
        <v>403</v>
      </c>
      <c r="B111" s="13" t="s">
        <v>598</v>
      </c>
      <c r="C111" s="13" t="s">
        <v>120</v>
      </c>
      <c r="D111" s="13" t="s">
        <v>52</v>
      </c>
      <c r="E111" s="13"/>
    </row>
    <row r="112" customFormat="false" ht="15" hidden="false" customHeight="false" outlineLevel="0" collapsed="false">
      <c r="A112" s="13" t="s">
        <v>404</v>
      </c>
      <c r="B112" s="13" t="s">
        <v>598</v>
      </c>
      <c r="C112" s="13" t="s">
        <v>112</v>
      </c>
      <c r="D112" s="13" t="s">
        <v>296</v>
      </c>
      <c r="E112" s="13" t="s">
        <v>315</v>
      </c>
    </row>
    <row r="113" customFormat="false" ht="15" hidden="false" customHeight="false" outlineLevel="0" collapsed="false">
      <c r="A113" s="13" t="s">
        <v>407</v>
      </c>
      <c r="B113" s="13" t="s">
        <v>598</v>
      </c>
      <c r="C113" s="13" t="s">
        <v>116</v>
      </c>
      <c r="D113" s="13" t="s">
        <v>296</v>
      </c>
      <c r="E113" s="13" t="s">
        <v>315</v>
      </c>
    </row>
  </sheetData>
  <autoFilter ref="A1:E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2026-10-07T14:48:06Z</dcterms:created>
  <dc:creator>AI-Driven SDLC with Databricks, course kit</dc:creator>
  <dc:description/>
  <dc:language>en-US</dc:language>
  <cp:lastModifiedBy/>
  <dcterms:modified xsi:type="dcterms:W3CDTF">2026-10-07T14:48:06Z</dcterms:modified>
  <cp:revision>0</cp:revision>
  <dc:subject/>
  <dc:title>O2I fixture workbook</dc:title>
</cp:coreProperties>
</file>

<file path=docProps/custom.xml><?xml version="1.0" encoding="utf-8"?>
<Properties xmlns="http://schemas.openxmlformats.org/officeDocument/2006/custom-properties" xmlns:vt="http://schemas.openxmlformats.org/officeDocument/2006/docPropsVTypes"/>
</file>